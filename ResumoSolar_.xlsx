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WOliveira\Desktop\WeslleyDasNeves\HTML\"/>
    </mc:Choice>
  </mc:AlternateContent>
  <xr:revisionPtr revIDLastSave="0" documentId="13_ncr:1_{6E2D31BF-AD90-4AF2-9291-36A06FCEB4A3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Relatórios" sheetId="9" r:id="rId1"/>
    <sheet name="Tabela1" sheetId="13" r:id="rId2"/>
    <sheet name="Planilha1" sheetId="12" r:id="rId3"/>
    <sheet name="Mensal" sheetId="10" r:id="rId4"/>
    <sheet name="Pvsyst" sheetId="14" r:id="rId5"/>
    <sheet name="Hidreletrica" sheetId="16" r:id="rId6"/>
  </sheets>
  <definedNames>
    <definedName name="DadosExternos_1" localSheetId="1" hidden="1">Tabela1!$A$1:$K$50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9" l="1"/>
  <c r="L25" i="9"/>
  <c r="G25" i="9"/>
  <c r="I25" i="9" s="1"/>
  <c r="F25" i="9"/>
  <c r="L24" i="9"/>
  <c r="G24" i="9"/>
  <c r="I24" i="9" s="1"/>
  <c r="F24" i="9"/>
  <c r="L23" i="9"/>
  <c r="G23" i="9"/>
  <c r="I23" i="9" s="1"/>
  <c r="F23" i="9"/>
  <c r="L22" i="9"/>
  <c r="G22" i="9"/>
  <c r="I22" i="9" s="1"/>
  <c r="C49" i="12"/>
  <c r="B49" i="12"/>
  <c r="B48" i="12"/>
  <c r="B47" i="12"/>
  <c r="F61" i="10"/>
  <c r="F60" i="10"/>
  <c r="F58" i="10"/>
  <c r="F59" i="10"/>
  <c r="B51" i="10"/>
  <c r="R18" i="10"/>
  <c r="L16" i="10"/>
  <c r="O16" i="10"/>
  <c r="B60" i="10"/>
  <c r="B58" i="10"/>
  <c r="B56" i="10"/>
  <c r="B55" i="10"/>
  <c r="C53" i="10"/>
  <c r="D53" i="10"/>
  <c r="E53" i="10"/>
  <c r="F53" i="10"/>
  <c r="G53" i="10"/>
  <c r="H53" i="10"/>
  <c r="I53" i="10"/>
  <c r="J53" i="10"/>
  <c r="B53" i="10"/>
  <c r="B74" i="10"/>
  <c r="B72" i="10"/>
  <c r="B69" i="10"/>
  <c r="B68" i="10"/>
  <c r="Q49" i="10"/>
  <c r="M49" i="10"/>
  <c r="N49" i="10"/>
  <c r="O49" i="10"/>
  <c r="P49" i="10"/>
  <c r="L49" i="10"/>
  <c r="C49" i="10"/>
  <c r="C51" i="10"/>
  <c r="D51" i="10"/>
  <c r="E51" i="10"/>
  <c r="F51" i="10"/>
  <c r="G51" i="10"/>
  <c r="H51" i="10"/>
  <c r="I51" i="10"/>
  <c r="J51" i="10"/>
  <c r="B49" i="10"/>
  <c r="N47" i="10" s="1"/>
  <c r="B48" i="10"/>
  <c r="B47" i="10"/>
  <c r="G15" i="9"/>
  <c r="I15" i="9" s="1"/>
  <c r="G16" i="9"/>
  <c r="I16" i="9" s="1"/>
  <c r="G13" i="9"/>
  <c r="I13" i="9" s="1"/>
  <c r="L16" i="9"/>
  <c r="F16" i="9"/>
  <c r="L15" i="9"/>
  <c r="F15" i="9"/>
  <c r="L14" i="9"/>
  <c r="G14" i="9"/>
  <c r="I14" i="9" s="1"/>
  <c r="F14" i="9"/>
  <c r="L13" i="9"/>
  <c r="F13" i="9"/>
  <c r="P121" i="9"/>
  <c r="P120" i="9"/>
  <c r="P119" i="9"/>
  <c r="L8" i="9"/>
  <c r="G8" i="9"/>
  <c r="I8" i="9" s="1"/>
  <c r="F8" i="9"/>
  <c r="L7" i="9"/>
  <c r="G7" i="9"/>
  <c r="I7" i="9" s="1"/>
  <c r="F7" i="9"/>
  <c r="L6" i="9"/>
  <c r="G6" i="9"/>
  <c r="I6" i="9" s="1"/>
  <c r="F6" i="9"/>
  <c r="L5" i="9"/>
  <c r="G5" i="9"/>
  <c r="I5" i="9" s="1"/>
  <c r="F5" i="9"/>
  <c r="V109" i="9"/>
  <c r="V108" i="9"/>
  <c r="L94" i="9"/>
  <c r="L93" i="9"/>
  <c r="L92" i="9"/>
  <c r="L91" i="9"/>
  <c r="V107" i="9"/>
  <c r="V106" i="9"/>
  <c r="Q107" i="9"/>
  <c r="S107" i="9" s="1"/>
  <c r="Q108" i="9"/>
  <c r="S108" i="9" s="1"/>
  <c r="Q109" i="9"/>
  <c r="S109" i="9" s="1"/>
  <c r="Q106" i="9"/>
  <c r="S106" i="9" s="1"/>
  <c r="P83" i="9"/>
  <c r="R83" i="9" s="1"/>
  <c r="P84" i="9"/>
  <c r="R84" i="9" s="1"/>
  <c r="P85" i="9"/>
  <c r="R85" i="9" s="1"/>
  <c r="P82" i="9"/>
  <c r="R82" i="9" s="1"/>
  <c r="P109" i="9"/>
  <c r="P108" i="9"/>
  <c r="P107" i="9"/>
  <c r="P106" i="9"/>
  <c r="S85" i="9"/>
  <c r="U85" i="9" s="1"/>
  <c r="O85" i="9"/>
  <c r="S84" i="9"/>
  <c r="U84" i="9" s="1"/>
  <c r="O84" i="9"/>
  <c r="S83" i="9"/>
  <c r="U83" i="9" s="1"/>
  <c r="O83" i="9"/>
  <c r="S82" i="9"/>
  <c r="U82" i="9" s="1"/>
  <c r="O82" i="9"/>
  <c r="R19" i="9"/>
  <c r="R18" i="9"/>
  <c r="R17" i="9"/>
  <c r="R16" i="9"/>
  <c r="R8" i="9"/>
  <c r="R7" i="9"/>
  <c r="R6" i="9"/>
  <c r="R5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299AC6-CFDF-4627-B714-0C58FB3837E5}" keepAlive="1" name="Consulta - Tabela1" description="Conexão com a consulta 'Tabela1' na pasta de trabalho." type="5" refreshedVersion="8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<sst xmlns="http://schemas.openxmlformats.org/spreadsheetml/2006/main" count="1217" uniqueCount="81">
  <si>
    <t>UFV KM47</t>
  </si>
  <si>
    <t>Dia</t>
  </si>
  <si>
    <t>Colatina 1</t>
  </si>
  <si>
    <t>Colatina 2</t>
  </si>
  <si>
    <t>Colatina 3</t>
  </si>
  <si>
    <t>Colatina 4</t>
  </si>
  <si>
    <t>Colatina 5</t>
  </si>
  <si>
    <t>Pancas 1</t>
  </si>
  <si>
    <t>Pancas 3</t>
  </si>
  <si>
    <t>Pancas 2</t>
  </si>
  <si>
    <t xml:space="preserve">Pancas </t>
  </si>
  <si>
    <t>SM F47</t>
  </si>
  <si>
    <t>UFV COLATINA 1</t>
  </si>
  <si>
    <t>UFV COLATINA 2</t>
  </si>
  <si>
    <t>UFV PANCAS</t>
  </si>
  <si>
    <t>PVSyst</t>
  </si>
  <si>
    <t>Real</t>
  </si>
  <si>
    <t/>
  </si>
  <si>
    <t>∆</t>
  </si>
  <si>
    <t xml:space="preserve"> 05/05/2026</t>
  </si>
  <si>
    <t>Pancas</t>
  </si>
  <si>
    <t xml:space="preserve"> 06/05/2026</t>
  </si>
  <si>
    <t>Semanal</t>
  </si>
  <si>
    <t>Mensal</t>
  </si>
  <si>
    <t>F47</t>
  </si>
  <si>
    <t>Radiação média</t>
  </si>
  <si>
    <t>Semana 08/05</t>
  </si>
  <si>
    <t>colatina 1</t>
  </si>
  <si>
    <t xml:space="preserve"> 07/05/2026</t>
  </si>
  <si>
    <t>Mantena prox pancas</t>
  </si>
  <si>
    <t>Dia 07/05</t>
  </si>
  <si>
    <t>SÃO MATHEUS 47</t>
  </si>
  <si>
    <t>DIA 07/05</t>
  </si>
  <si>
    <t>Marilandia(colatina)</t>
  </si>
  <si>
    <t>Radiação</t>
  </si>
  <si>
    <t>colatina 2</t>
  </si>
  <si>
    <t xml:space="preserve"> 10/05/2026</t>
  </si>
  <si>
    <t>Colatina1</t>
  </si>
  <si>
    <t>KM47</t>
  </si>
  <si>
    <t>Aimores(prox pancas)</t>
  </si>
  <si>
    <t>São matheus ( 47)</t>
  </si>
  <si>
    <t>Coluna1</t>
  </si>
  <si>
    <t>Coluna2</t>
  </si>
  <si>
    <t>Coluna3</t>
  </si>
  <si>
    <t>Coluna4</t>
  </si>
  <si>
    <t>Coluna5</t>
  </si>
  <si>
    <t>Coluna6</t>
  </si>
  <si>
    <t>Coluna7</t>
  </si>
  <si>
    <t>Usina</t>
  </si>
  <si>
    <t>Geracao</t>
  </si>
  <si>
    <t>Data</t>
  </si>
  <si>
    <t>pvsyst</t>
  </si>
  <si>
    <t>PANCAS</t>
  </si>
  <si>
    <t>COLATINA 1</t>
  </si>
  <si>
    <t>COLATINA 2</t>
  </si>
  <si>
    <t xml:space="preserve"> 11/05/2026</t>
  </si>
  <si>
    <t>Agente</t>
  </si>
  <si>
    <t>Ponto / Grupo</t>
  </si>
  <si>
    <t>Data - Base diária</t>
  </si>
  <si>
    <t>Ativa G (kWh)</t>
  </si>
  <si>
    <t>Qualidade</t>
  </si>
  <si>
    <t>Origem</t>
  </si>
  <si>
    <t>SANTA MARIA CGH 1 - GERACAO</t>
  </si>
  <si>
    <t>ESUSAGUS---01 (L)</t>
  </si>
  <si>
    <t>Completo</t>
  </si>
  <si>
    <t>COLETA DIÁRIA</t>
  </si>
  <si>
    <t>PCH Alegre</t>
  </si>
  <si>
    <t>SANTA MARIA CGH 2 - GERACAO</t>
  </si>
  <si>
    <t>ESUSJUUS---01 (L)</t>
  </si>
  <si>
    <t>PCH Jucu</t>
  </si>
  <si>
    <t>SANTA MARIA CGH 3 - GERACAO</t>
  </si>
  <si>
    <t>ESUSV-USI--01 (L)</t>
  </si>
  <si>
    <t>PCH Viçosa</t>
  </si>
  <si>
    <t>SMGT</t>
  </si>
  <si>
    <t>ESCAOIUCAOI01 (L)</t>
  </si>
  <si>
    <t>CGH Cachoeira do Oito</t>
  </si>
  <si>
    <t>ESCGCOUSNCO01 (L)</t>
  </si>
  <si>
    <t>CGH Cachoeira da Onça</t>
  </si>
  <si>
    <t>ESSMGTUSSTM01 (L)</t>
  </si>
  <si>
    <t>CGH Santa Maria</t>
  </si>
  <si>
    <t>Hidreletrica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</si>
</sst>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Aptos Narrow"/>
      <family val="2"/>
    </font>
    <font>
      <sz val="8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9" fontId="0" fillId="0" borderId="0" xfId="1" applyFont="1"/>
    <xf numFmtId="10" fontId="0" fillId="0" borderId="7" xfId="1" applyNumberFormat="1" applyFont="1" applyBorder="1" applyAlignment="1">
      <alignment horizontal="center"/>
    </xf>
    <xf numFmtId="10" fontId="0" fillId="0" borderId="10" xfId="1" applyNumberFormat="1" applyFont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5" fillId="5" borderId="12" xfId="0" applyFont="1" applyFill="1" applyBorder="1"/>
    <xf numFmtId="2" fontId="0" fillId="0" borderId="6" xfId="0" applyNumberFormat="1" applyBorder="1" applyAlignment="1">
      <alignment horizontal="center"/>
    </xf>
    <xf numFmtId="0" fontId="5" fillId="5" borderId="16" xfId="0" applyFont="1" applyFill="1" applyBorder="1"/>
    <xf numFmtId="0" fontId="5" fillId="5" borderId="17" xfId="0" applyFont="1" applyFill="1" applyBorder="1"/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6" borderId="1" xfId="0" applyFill="1" applyBorder="1"/>
    <xf numFmtId="0" fontId="6" fillId="5" borderId="2" xfId="0" applyFont="1" applyFill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5" fillId="5" borderId="0" xfId="0" applyFont="1" applyFill="1"/>
    <xf numFmtId="0" fontId="0" fillId="2" borderId="0" xfId="0" applyFill="1"/>
    <xf numFmtId="0" fontId="4" fillId="0" borderId="0" xfId="0" applyFont="1"/>
    <xf numFmtId="2" fontId="0" fillId="0" borderId="3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0" fontId="0" fillId="7" borderId="1" xfId="0" applyFill="1" applyBorder="1"/>
    <xf numFmtId="0" fontId="0" fillId="9" borderId="1" xfId="0" applyFill="1" applyBorder="1"/>
    <xf numFmtId="17" fontId="0" fillId="0" borderId="0" xfId="0" applyNumberFormat="1"/>
    <xf numFmtId="0" fontId="0" fillId="0" borderId="2" xfId="0" applyBorder="1"/>
    <xf numFmtId="0" fontId="0" fillId="2" borderId="2" xfId="0" applyFill="1" applyBorder="1"/>
    <xf numFmtId="0" fontId="0" fillId="6" borderId="2" xfId="0" applyFill="1" applyBorder="1"/>
    <xf numFmtId="0" fontId="0" fillId="7" borderId="6" xfId="0" applyFill="1" applyBorder="1"/>
    <xf numFmtId="0" fontId="0" fillId="7" borderId="7" xfId="0" applyFill="1" applyBorder="1"/>
    <xf numFmtId="0" fontId="0" fillId="8" borderId="6" xfId="0" applyFill="1" applyBorder="1"/>
    <xf numFmtId="0" fontId="0" fillId="8" borderId="7" xfId="0" applyFill="1" applyBorder="1"/>
    <xf numFmtId="0" fontId="0" fillId="9" borderId="6" xfId="0" applyFill="1" applyBorder="1"/>
    <xf numFmtId="0" fontId="0" fillId="9" borderId="7" xfId="0" applyFill="1" applyBorder="1"/>
    <xf numFmtId="0" fontId="0" fillId="0" borderId="23" xfId="0" applyBorder="1"/>
    <xf numFmtId="0" fontId="0" fillId="3" borderId="24" xfId="0" applyFill="1" applyBorder="1"/>
    <xf numFmtId="0" fontId="0" fillId="0" borderId="24" xfId="0" applyBorder="1"/>
    <xf numFmtId="0" fontId="0" fillId="4" borderId="24" xfId="0" applyFill="1" applyBorder="1"/>
    <xf numFmtId="0" fontId="0" fillId="2" borderId="24" xfId="0" applyFill="1" applyBorder="1"/>
    <xf numFmtId="0" fontId="0" fillId="6" borderId="24" xfId="0" applyFill="1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7" borderId="19" xfId="0" applyFill="1" applyBorder="1"/>
    <xf numFmtId="0" fontId="0" fillId="7" borderId="5" xfId="0" applyFill="1" applyBorder="1"/>
    <xf numFmtId="0" fontId="0" fillId="7" borderId="20" xfId="0" applyFill="1" applyBorder="1"/>
    <xf numFmtId="0" fontId="0" fillId="8" borderId="19" xfId="0" applyFill="1" applyBorder="1"/>
    <xf numFmtId="0" fontId="0" fillId="8" borderId="20" xfId="0" applyFill="1" applyBorder="1"/>
    <xf numFmtId="0" fontId="0" fillId="9" borderId="19" xfId="0" applyFill="1" applyBorder="1"/>
    <xf numFmtId="0" fontId="0" fillId="9" borderId="5" xfId="0" applyFill="1" applyBorder="1"/>
    <xf numFmtId="0" fontId="0" fillId="9" borderId="20" xfId="0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6" borderId="31" xfId="0" applyFill="1" applyBorder="1"/>
    <xf numFmtId="0" fontId="0" fillId="7" borderId="32" xfId="0" applyFill="1" applyBorder="1"/>
    <xf numFmtId="0" fontId="0" fillId="7" borderId="4" xfId="0" applyFill="1" applyBorder="1"/>
    <xf numFmtId="0" fontId="0" fillId="7" borderId="33" xfId="0" applyFill="1" applyBorder="1"/>
    <xf numFmtId="0" fontId="0" fillId="8" borderId="32" xfId="0" applyFill="1" applyBorder="1"/>
    <xf numFmtId="0" fontId="0" fillId="8" borderId="33" xfId="0" applyFill="1" applyBorder="1"/>
    <xf numFmtId="0" fontId="0" fillId="9" borderId="32" xfId="0" applyFill="1" applyBorder="1"/>
    <xf numFmtId="0" fontId="0" fillId="9" borderId="4" xfId="0" applyFill="1" applyBorder="1"/>
    <xf numFmtId="0" fontId="0" fillId="9" borderId="33" xfId="0" applyFill="1" applyBorder="1"/>
    <xf numFmtId="0" fontId="0" fillId="6" borderId="34" xfId="0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2" fontId="0" fillId="0" borderId="1" xfId="0" applyNumberFormat="1" applyBorder="1"/>
    <xf numFmtId="2" fontId="0" fillId="10" borderId="0" xfId="0" applyNumberFormat="1" applyFill="1"/>
    <xf numFmtId="2" fontId="0" fillId="0" borderId="0" xfId="0" applyNumberFormat="1"/>
    <xf numFmtId="0" fontId="0" fillId="9" borderId="0" xfId="0" applyFill="1"/>
    <xf numFmtId="0" fontId="7" fillId="0" borderId="0" xfId="0" applyFont="1"/>
    <xf numFmtId="14" fontId="0" fillId="0" borderId="0" xfId="0" applyNumberFormat="1"/>
    <xf numFmtId="10" fontId="0" fillId="0" borderId="0" xfId="0" applyNumberFormat="1"/>
    <xf numFmtId="0" fontId="0" fillId="11" borderId="35" xfId="0" applyFill="1" applyBorder="1"/>
    <xf numFmtId="4" fontId="0" fillId="0" borderId="0" xfId="0" applyNumberFormat="1"/>
    <xf numFmtId="0" fontId="0" fillId="12" borderId="0" xfId="0" applyFill="1"/>
    <xf numFmtId="0" fontId="0" fillId="13" borderId="0" xfId="0" applyFill="1"/>
    <xf numFmtId="0" fontId="0" fillId="10" borderId="0" xfId="0" applyFill="1"/>
    <xf numFmtId="14" fontId="0" fillId="10" borderId="0" xfId="0" applyNumberFormat="1" applyFill="1"/>
    <xf numFmtId="4" fontId="0" fillId="10" borderId="0" xfId="0" applyNumberFormat="1" applyFill="1"/>
    <xf numFmtId="0" fontId="0" fillId="14" borderId="0" xfId="0" applyFill="1"/>
    <xf numFmtId="14" fontId="0" fillId="14" borderId="0" xfId="0" applyNumberFormat="1" applyFill="1"/>
    <xf numFmtId="4" fontId="0" fillId="14" borderId="0" xfId="0" applyNumberFormat="1" applyFill="1"/>
    <xf numFmtId="0" fontId="0" fillId="15" borderId="0" xfId="0" applyFill="1"/>
    <xf numFmtId="14" fontId="0" fillId="15" borderId="0" xfId="0" applyNumberFormat="1" applyFill="1"/>
    <xf numFmtId="4" fontId="0" fillId="15" borderId="0" xfId="0" applyNumberFormat="1" applyFill="1"/>
    <xf numFmtId="0" fontId="0" fillId="16" borderId="0" xfId="0" applyFill="1"/>
    <xf numFmtId="14" fontId="0" fillId="16" borderId="0" xfId="0" applyNumberFormat="1" applyFill="1"/>
    <xf numFmtId="4" fontId="0" fillId="16" borderId="0" xfId="0" applyNumberFormat="1" applyFill="1"/>
    <xf numFmtId="2" fontId="1" fillId="0" borderId="1" xfId="0" applyNumberFormat="1" applyFont="1" applyBorder="1" applyAlignment="1">
      <alignment horizontal="center"/>
    </xf>
    <xf numFmtId="0" fontId="0" fillId="18" borderId="0" xfId="0" applyFill="1"/>
    <xf numFmtId="14" fontId="0" fillId="18" borderId="0" xfId="0" applyNumberFormat="1" applyFill="1"/>
    <xf numFmtId="0" fontId="0" fillId="17" borderId="0" xfId="0" applyFill="1"/>
    <xf numFmtId="0" fontId="0" fillId="0" borderId="0" xfId="0" quotePrefix="1" applyAlignment="1">
      <alignment horizontal="center"/>
    </xf>
    <xf numFmtId="0" fontId="0" fillId="0" borderId="18" xfId="0" quotePrefix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11" xfId="0" quotePrefix="1" applyBorder="1" applyAlignment="1">
      <alignment horizontal="center"/>
    </xf>
    <xf numFmtId="0" fontId="0" fillId="0" borderId="15" xfId="0" quotePrefix="1" applyBorder="1" applyAlignment="1">
      <alignment horizontal="center"/>
    </xf>
    <xf numFmtId="14" fontId="1" fillId="0" borderId="12" xfId="0" applyNumberFormat="1" applyFont="1" applyBorder="1" applyAlignment="1">
      <alignment horizontal="center"/>
    </xf>
    <xf numFmtId="14" fontId="1" fillId="0" borderId="13" xfId="0" applyNumberFormat="1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Porcentagem" xfId="1" builtinId="5"/>
    <cellStyle name="Vírgula 2" xfId="2" xr:uid="{4178DE73-B1D7-4F7E-ABD8-643433651FB9}"/>
  </cellStyles>
  <dxfs count="12">
    <dxf>
      <fill>
        <patternFill patternType="solid">
          <fgColor indexed="64"/>
          <bgColor theme="3" tint="0.79998168889431442"/>
        </patternFill>
      </fill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7" tint="0.5999938962981048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4" tint="0.3999755851924192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4" tint="0.3999755851924192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2" formatCode="0.00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theme="3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</dxf>
    <dxf>
      <numFmt numFmtId="0" formatCode="General"/>
    </dxf>
  </dxfs>
  <tableStyles count="0" defaultTableStyle="TableStyleMedium2" defaultPivotStyle="PivotStyleLight16"/>
  <colors>
    <mruColors>
      <color rgb="FF163B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36195</xdr:colOff>
      <xdr:row>72</xdr:row>
      <xdr:rowOff>59055</xdr:rowOff>
    </xdr:from>
    <xdr:ext cx="324512" cy="3466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D46DD819-EFAA-43F7-86D9-715462AE44D7}"/>
                </a:ext>
              </a:extLst>
            </xdr:cNvPr>
            <xdr:cNvSpPr txBox="1"/>
          </xdr:nvSpPr>
          <xdr:spPr>
            <a:xfrm>
              <a:off x="47537370" y="1712595"/>
              <a:ext cx="324512" cy="3466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pt-B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BR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num>
                      <m:den>
                        <m:sSup>
                          <m:sSupPr>
                            <m:ctrlPr>
                              <a:rPr lang="pt-BR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pt-B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pt-BR" sz="1100" b="0"/>
            </a:p>
            <a:p>
              <a:endParaRPr lang="pt-BR" sz="11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D46DD819-EFAA-43F7-86D9-715462AE44D7}"/>
                </a:ext>
              </a:extLst>
            </xdr:cNvPr>
            <xdr:cNvSpPr txBox="1"/>
          </xdr:nvSpPr>
          <xdr:spPr>
            <a:xfrm>
              <a:off x="47537370" y="1712595"/>
              <a:ext cx="324512" cy="3466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100" b="0" i="0">
                  <a:latin typeface="Cambria Math" panose="02040503050406030204" pitchFamily="18" charset="0"/>
                </a:rPr>
                <a:t>𝑤/𝑚^2 </a:t>
              </a:r>
              <a:endParaRPr lang="pt-BR" sz="1100" b="0"/>
            </a:p>
            <a:p>
              <a:endParaRPr lang="pt-BR" sz="1100"/>
            </a:p>
          </xdr:txBody>
        </xdr:sp>
      </mc:Fallback>
    </mc:AlternateContent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79353E4-8E4E-4CB2-AFA5-87001A404A18}" autoFormatId="16" applyNumberFormats="0" applyBorderFormats="0" applyFontFormats="0" applyPatternFormats="0" applyAlignmentFormats="0" applyWidthHeightFormats="0">
  <queryTableRefresh nextId="12">
    <queryTableFields count="11">
      <queryTableField id="1" name="Colatina 1" tableColumnId="1"/>
      <queryTableField id="2" name="Coluna2" tableColumnId="2"/>
      <queryTableField id="3" name="Coluna3" tableColumnId="3"/>
      <queryTableField id="4" name="Colatina 2" tableColumnId="4"/>
      <queryTableField id="5" name="Coluna4" tableColumnId="5"/>
      <queryTableField id="6" name="Pancas " tableColumnId="6"/>
      <queryTableField id="7" name="Coluna5" tableColumnId="7"/>
      <queryTableField id="8" name="Coluna6" tableColumnId="8"/>
      <queryTableField id="9" name="Coluna7" tableColumnId="9"/>
      <queryTableField id="10" name="Usina" tableColumnId="10"/>
      <queryTableField id="11" name="Geracao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D61BD4-04BD-44A7-ACE2-8C88E7EC92B5}" name="Tabela1_1" displayName="Tabela1_1" ref="A1:K50" tableType="queryTable" totalsRowShown="0">
  <autoFilter ref="A1:K50" xr:uid="{22D61BD4-04BD-44A7-ACE2-8C88E7EC92B5}"/>
  <tableColumns count="11">
    <tableColumn id="1" xr3:uid="{18BE6F58-6EF6-49A4-ACC3-477B9177CA5D}" uniqueName="1" name="Colatina 1" queryTableFieldId="1"/>
    <tableColumn id="2" xr3:uid="{06FED6FE-8840-4817-8252-4400A6E0429A}" uniqueName="2" name="Coluna2" queryTableFieldId="2"/>
    <tableColumn id="3" xr3:uid="{F2B76EB1-5AD2-49B8-8396-F32EFB3E1D8C}" uniqueName="3" name="Coluna3" queryTableFieldId="3"/>
    <tableColumn id="4" xr3:uid="{ADF1411D-2F0B-47A6-8A29-493CA5B0935C}" uniqueName="4" name="Colatina 2" queryTableFieldId="4"/>
    <tableColumn id="5" xr3:uid="{9D36DFCE-EDBC-48DA-809B-73E141D101DA}" uniqueName="5" name="Coluna4" queryTableFieldId="5"/>
    <tableColumn id="6" xr3:uid="{5954DC1A-C1B9-4576-9DA0-B55AF9D61865}" uniqueName="6" name="Pancas " queryTableFieldId="6"/>
    <tableColumn id="7" xr3:uid="{D34C45BE-B4F1-46C1-A068-F84947F87053}" uniqueName="7" name="Coluna5" queryTableFieldId="7"/>
    <tableColumn id="8" xr3:uid="{3FA9DBCD-FC62-4F5B-8FCD-4E590B33F8B6}" uniqueName="8" name="Coluna6" queryTableFieldId="8"/>
    <tableColumn id="9" xr3:uid="{3F7F064D-A820-455B-A24B-FD1F0ECFDBE4}" uniqueName="9" name="Coluna7" queryTableFieldId="9"/>
    <tableColumn id="10" xr3:uid="{83BF386D-BCD4-4A30-9926-249C78718420}" uniqueName="10" name="Usina" queryTableFieldId="10" dataDxfId="11"/>
    <tableColumn id="11" xr3:uid="{75908D6B-8AF1-420D-B0B8-F421CEAFE148}" uniqueName="11" name="Geracao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E6C5C5-1BAC-4D28-9666-8C948A650129}" name="Tabela1" displayName="Tabela1" ref="A1:J49" totalsRowShown="0" dataDxfId="10">
  <autoFilter ref="A1:J49" xr:uid="{38E6C5C5-1BAC-4D28-9666-8C948A650129}"/>
  <tableColumns count="10">
    <tableColumn id="1" xr3:uid="{6D0D1585-5F05-42F9-B0E5-7A40F1C36EA8}" name="Coluna1" dataDxfId="9"/>
    <tableColumn id="2" xr3:uid="{3B108BCE-65EA-4C0B-A15F-947A6E8F90BC}" name="Colatina 1" dataDxfId="8"/>
    <tableColumn id="3" xr3:uid="{4CF429B3-B75E-4EB0-B885-285BCEF6A420}" name="Coluna2" dataDxfId="7"/>
    <tableColumn id="4" xr3:uid="{CB5886B4-CEBE-40B9-A3CC-A9AAF0B4C836}" name="Coluna3" dataDxfId="6"/>
    <tableColumn id="5" xr3:uid="{D6C97169-B735-4D33-B990-20741545C4AA}" name="Colatina 2" dataDxfId="5"/>
    <tableColumn id="6" xr3:uid="{6CF86F35-19ED-4E79-85B1-5B0A7F3EC4B0}" name="Coluna4" dataDxfId="4"/>
    <tableColumn id="7" xr3:uid="{7E203505-B5DF-4F5A-B5CB-8C75E846F2AF}" name="Pancas " dataDxfId="3"/>
    <tableColumn id="8" xr3:uid="{26B0F68C-A1FC-43F2-B495-75C79AD02F10}" name="Coluna5" dataDxfId="2"/>
    <tableColumn id="9" xr3:uid="{FD1EC501-F85D-43A4-B337-0B813B38CB04}" name="Coluna6" dataDxfId="1"/>
    <tableColumn id="10" xr3:uid="{D783F94A-A956-4D8C-A076-A6175B1D6130}" name="Coluna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26D8-55AB-4E07-A883-2DF438AFE9C1}">
  <dimension ref="A2:AB122"/>
  <sheetViews>
    <sheetView topLeftCell="A2" zoomScaleNormal="100" workbookViewId="0">
      <selection activeCell="D27" sqref="D27"/>
    </sheetView>
  </sheetViews>
  <sheetFormatPr defaultRowHeight="14.4" x14ac:dyDescent="0.3"/>
  <cols>
    <col min="2" max="2" width="17.6640625" customWidth="1"/>
    <col min="3" max="5" width="10.5546875" bestFit="1" customWidth="1"/>
    <col min="6" max="6" width="13.77734375" customWidth="1"/>
    <col min="7" max="8" width="10.5546875" bestFit="1" customWidth="1"/>
    <col min="9" max="9" width="13.77734375" customWidth="1"/>
    <col min="10" max="11" width="10.5546875" bestFit="1" customWidth="1"/>
    <col min="12" max="12" width="13.77734375" customWidth="1"/>
    <col min="15" max="15" width="14.109375" customWidth="1"/>
    <col min="16" max="16" width="16.6640625" customWidth="1"/>
    <col min="17" max="17" width="11" customWidth="1"/>
    <col min="18" max="18" width="15.6640625" customWidth="1"/>
    <col min="19" max="19" width="12" customWidth="1"/>
    <col min="20" max="20" width="10.88671875" customWidth="1"/>
    <col min="22" max="22" width="12.109375" customWidth="1"/>
    <col min="23" max="23" width="11" customWidth="1"/>
    <col min="25" max="25" width="12.109375" customWidth="1"/>
    <col min="26" max="26" width="10.77734375" customWidth="1"/>
    <col min="28" max="28" width="12.109375" customWidth="1"/>
  </cols>
  <sheetData>
    <row r="2" spans="2:18" ht="15" thickBot="1" x14ac:dyDescent="0.35"/>
    <row r="3" spans="2:18" x14ac:dyDescent="0.3">
      <c r="B3" s="100" t="s">
        <v>17</v>
      </c>
      <c r="C3" s="71" t="s">
        <v>28</v>
      </c>
      <c r="D3" s="71"/>
      <c r="E3" s="71"/>
      <c r="F3" s="72"/>
      <c r="G3" s="70" t="s">
        <v>22</v>
      </c>
      <c r="H3" s="71"/>
      <c r="I3" s="72"/>
      <c r="J3" s="70" t="s">
        <v>23</v>
      </c>
      <c r="K3" s="70"/>
      <c r="L3" s="72"/>
      <c r="O3" s="105" t="s">
        <v>17</v>
      </c>
      <c r="P3" s="110" t="s">
        <v>19</v>
      </c>
      <c r="Q3" s="111"/>
      <c r="R3" s="112"/>
    </row>
    <row r="4" spans="2:18" ht="15" thickBot="1" x14ac:dyDescent="0.35">
      <c r="B4" s="101"/>
      <c r="C4" s="7" t="s">
        <v>34</v>
      </c>
      <c r="D4" s="7" t="s">
        <v>15</v>
      </c>
      <c r="E4" s="7" t="s">
        <v>16</v>
      </c>
      <c r="F4" s="9" t="s">
        <v>18</v>
      </c>
      <c r="G4" s="7" t="s">
        <v>15</v>
      </c>
      <c r="H4" s="8" t="s">
        <v>16</v>
      </c>
      <c r="I4" s="9" t="s">
        <v>18</v>
      </c>
      <c r="J4" s="7" t="s">
        <v>15</v>
      </c>
      <c r="K4" s="7" t="s">
        <v>16</v>
      </c>
      <c r="L4" s="9" t="s">
        <v>18</v>
      </c>
      <c r="O4" s="106"/>
      <c r="P4" s="7" t="s">
        <v>15</v>
      </c>
      <c r="Q4" s="8" t="s">
        <v>16</v>
      </c>
      <c r="R4" s="9" t="s">
        <v>18</v>
      </c>
    </row>
    <row r="5" spans="2:18" x14ac:dyDescent="0.3">
      <c r="B5" s="10" t="s">
        <v>12</v>
      </c>
      <c r="C5" s="26">
        <v>721.29090909090894</v>
      </c>
      <c r="D5" s="26">
        <v>14.964206513548387</v>
      </c>
      <c r="E5" s="26">
        <v>13.4087</v>
      </c>
      <c r="F5" s="5">
        <f>(E5-D5)/D5</f>
        <v>-0.10394847946932922</v>
      </c>
      <c r="G5" s="11">
        <f>D5*7</f>
        <v>104.7494455948387</v>
      </c>
      <c r="H5" s="3">
        <v>99.137500000000003</v>
      </c>
      <c r="I5" s="5">
        <f>(H5-G5)/G5</f>
        <v>-5.3574943170059293E-2</v>
      </c>
      <c r="J5" s="11">
        <v>474.74523908129026</v>
      </c>
      <c r="K5" s="11">
        <v>476.32749999999999</v>
      </c>
      <c r="L5" s="5">
        <f>(K5-J5)/J5</f>
        <v>3.3328631620859542E-3</v>
      </c>
      <c r="O5" s="10" t="s">
        <v>12</v>
      </c>
      <c r="P5" s="11">
        <v>14.964206513548387</v>
      </c>
      <c r="Q5" s="3">
        <v>19.949200000000001</v>
      </c>
      <c r="R5" s="5">
        <f>(Q5-P5)/P5</f>
        <v>0.33312781950304349</v>
      </c>
    </row>
    <row r="6" spans="2:18" x14ac:dyDescent="0.3">
      <c r="B6" s="12" t="s">
        <v>13</v>
      </c>
      <c r="C6" s="26">
        <v>721.29090909090894</v>
      </c>
      <c r="D6" s="26">
        <v>10.534519525483869</v>
      </c>
      <c r="E6" s="26">
        <v>8.4158000000000008</v>
      </c>
      <c r="F6" s="5">
        <f>(E6-D6)/D6</f>
        <v>-0.20112160980465332</v>
      </c>
      <c r="G6" s="11">
        <f t="shared" ref="G6:G8" si="0">D6*7</f>
        <v>73.741636678387081</v>
      </c>
      <c r="H6" s="3">
        <v>75.712299999999999</v>
      </c>
      <c r="I6" s="5">
        <f>(H6-G6)/G6</f>
        <v>2.6723889113116184E-2</v>
      </c>
      <c r="J6" s="11">
        <v>332.00711715290316</v>
      </c>
      <c r="K6" s="11">
        <v>374.45230000000004</v>
      </c>
      <c r="L6" s="5">
        <f>(K6-J6)/J6</f>
        <v>0.12784419566388119</v>
      </c>
      <c r="O6" s="12" t="s">
        <v>13</v>
      </c>
      <c r="P6" s="11">
        <v>10.534519525483869</v>
      </c>
      <c r="Q6" s="3">
        <v>14.306600000000001</v>
      </c>
      <c r="R6" s="5">
        <f>(Q6-P6)/P6</f>
        <v>0.35806858256716495</v>
      </c>
    </row>
    <row r="7" spans="2:18" x14ac:dyDescent="0.3">
      <c r="B7" s="12" t="s">
        <v>14</v>
      </c>
      <c r="C7" s="26">
        <v>893.96666666666658</v>
      </c>
      <c r="D7" s="26">
        <v>15.851425093225807</v>
      </c>
      <c r="E7" s="26">
        <v>14.974500000000001</v>
      </c>
      <c r="F7" s="5">
        <f>(E7-D7)/D7</f>
        <v>-5.5321530276830719E-2</v>
      </c>
      <c r="G7" s="11">
        <f t="shared" si="0"/>
        <v>110.95997565258065</v>
      </c>
      <c r="H7" s="3">
        <v>112.488</v>
      </c>
      <c r="I7" s="5">
        <f>(H7-G7)/G7</f>
        <v>1.3770950637224737E-2</v>
      </c>
      <c r="J7" s="11">
        <v>498.06855055935483</v>
      </c>
      <c r="K7" s="11">
        <v>551.13799999999992</v>
      </c>
      <c r="L7" s="5">
        <f>(K7-J7)/J7</f>
        <v>0.10655049266018815</v>
      </c>
      <c r="O7" s="12" t="s">
        <v>14</v>
      </c>
      <c r="P7" s="11">
        <v>15.851425093225807</v>
      </c>
      <c r="Q7" s="3">
        <v>20.461899999999996</v>
      </c>
      <c r="R7" s="5">
        <f>(Q7-P7)/P7</f>
        <v>0.2908555464041212</v>
      </c>
    </row>
    <row r="8" spans="2:18" ht="15" thickBot="1" x14ac:dyDescent="0.35">
      <c r="B8" s="13" t="s">
        <v>0</v>
      </c>
      <c r="C8" s="27">
        <v>1324.8153846153846</v>
      </c>
      <c r="D8" s="27">
        <v>4.8630468213870968</v>
      </c>
      <c r="E8" s="27">
        <v>5.5456000000000003</v>
      </c>
      <c r="F8" s="6">
        <f>(E8-D8)/D8</f>
        <v>0.14035504976244861</v>
      </c>
      <c r="G8" s="14">
        <f t="shared" si="0"/>
        <v>34.04132774970968</v>
      </c>
      <c r="H8" s="15">
        <v>36.718400000000003</v>
      </c>
      <c r="I8" s="6">
        <f>(H8-G8)/G8</f>
        <v>7.8641828249873535E-2</v>
      </c>
      <c r="J8" s="14">
        <v>155.89828092832258</v>
      </c>
      <c r="K8" s="14">
        <v>161.32839999999999</v>
      </c>
      <c r="L8" s="6">
        <f>(K8-J8)/J8</f>
        <v>3.483116708755768E-2</v>
      </c>
      <c r="O8" s="13" t="s">
        <v>0</v>
      </c>
      <c r="P8" s="14">
        <v>4.8630468213870968</v>
      </c>
      <c r="Q8" s="15">
        <v>5.0401000000000007</v>
      </c>
      <c r="R8" s="6">
        <f>(Q8-P8)/P8</f>
        <v>3.6407870439216269E-2</v>
      </c>
    </row>
    <row r="10" spans="2:18" ht="15" thickBot="1" x14ac:dyDescent="0.35"/>
    <row r="11" spans="2:18" x14ac:dyDescent="0.3">
      <c r="B11" s="100" t="s">
        <v>17</v>
      </c>
      <c r="C11" s="102" t="s">
        <v>36</v>
      </c>
      <c r="D11" s="103"/>
      <c r="E11" s="103"/>
      <c r="F11" s="104"/>
      <c r="G11" s="102" t="s">
        <v>22</v>
      </c>
      <c r="H11" s="103"/>
      <c r="I11" s="104"/>
      <c r="J11" s="102" t="s">
        <v>23</v>
      </c>
      <c r="K11" s="103"/>
      <c r="L11" s="104"/>
    </row>
    <row r="12" spans="2:18" ht="15" thickBot="1" x14ac:dyDescent="0.35">
      <c r="B12" s="101"/>
      <c r="C12" s="7" t="s">
        <v>34</v>
      </c>
      <c r="D12" s="7" t="s">
        <v>15</v>
      </c>
      <c r="E12" s="7" t="s">
        <v>16</v>
      </c>
      <c r="F12" s="9" t="s">
        <v>18</v>
      </c>
      <c r="G12" s="7" t="s">
        <v>15</v>
      </c>
      <c r="H12" s="8" t="s">
        <v>16</v>
      </c>
      <c r="I12" s="9" t="s">
        <v>18</v>
      </c>
      <c r="J12" s="7" t="s">
        <v>15</v>
      </c>
      <c r="K12" s="7" t="s">
        <v>16</v>
      </c>
      <c r="L12" s="9" t="s">
        <v>18</v>
      </c>
    </row>
    <row r="13" spans="2:18" ht="15" thickBot="1" x14ac:dyDescent="0.35">
      <c r="B13" s="10" t="s">
        <v>12</v>
      </c>
      <c r="C13" s="11">
        <v>1470.55</v>
      </c>
      <c r="D13" s="26">
        <v>14.964206513548387</v>
      </c>
      <c r="E13" s="26">
        <v>20.259070000000001</v>
      </c>
      <c r="F13" s="5">
        <f>(E13-D13)/D13</f>
        <v>0.35383523220277119</v>
      </c>
      <c r="G13" s="11">
        <f>D13*7</f>
        <v>104.7494455948387</v>
      </c>
      <c r="H13" s="3">
        <v>103.9952</v>
      </c>
      <c r="I13" s="5">
        <f>(H13-G13)/G13</f>
        <v>-7.2004733825137401E-3</v>
      </c>
      <c r="J13" s="11">
        <v>470.55478172215055</v>
      </c>
      <c r="K13" s="11">
        <v>488.53520000000009</v>
      </c>
      <c r="L13" s="5">
        <f>(K13-J13)/J13</f>
        <v>3.8211105223592161E-2</v>
      </c>
    </row>
    <row r="14" spans="2:18" x14ac:dyDescent="0.3">
      <c r="B14" s="12" t="s">
        <v>13</v>
      </c>
      <c r="C14" s="11">
        <v>1470.55</v>
      </c>
      <c r="D14" s="26">
        <v>10.534519525483869</v>
      </c>
      <c r="E14" s="26">
        <v>14.1722</v>
      </c>
      <c r="F14" s="5">
        <f>(E14-D14)/D14</f>
        <v>0.34531052562162734</v>
      </c>
      <c r="G14" s="11">
        <f t="shared" ref="G14" si="1">D14*7</f>
        <v>73.741636678387081</v>
      </c>
      <c r="H14" s="3">
        <v>72.524500000000003</v>
      </c>
      <c r="I14" s="5">
        <f>(H14-G14)/G14</f>
        <v>-1.6505419912164879E-2</v>
      </c>
      <c r="J14" s="11">
        <v>329.44107493483864</v>
      </c>
      <c r="K14" s="11">
        <v>370.06449999999995</v>
      </c>
      <c r="L14" s="5">
        <f>(K14-J14)/J14</f>
        <v>0.12331013997934645</v>
      </c>
      <c r="O14" s="105" t="s">
        <v>17</v>
      </c>
      <c r="P14" s="110" t="s">
        <v>21</v>
      </c>
      <c r="Q14" s="111"/>
      <c r="R14" s="112"/>
    </row>
    <row r="15" spans="2:18" ht="15" thickBot="1" x14ac:dyDescent="0.35">
      <c r="B15" s="12" t="s">
        <v>14</v>
      </c>
      <c r="C15" s="11">
        <v>1488.4833333333333</v>
      </c>
      <c r="D15" s="26">
        <v>15.851425093225807</v>
      </c>
      <c r="E15" s="26">
        <v>21.474499999999999</v>
      </c>
      <c r="F15" s="5">
        <f>(E15-D15)/D15</f>
        <v>0.35473623814285599</v>
      </c>
      <c r="G15" s="11">
        <f>D15*7</f>
        <v>110.95997565258065</v>
      </c>
      <c r="H15" s="3">
        <v>113.8425</v>
      </c>
      <c r="I15" s="5">
        <f>(H15-G15)/G15</f>
        <v>2.5978054974026197E-2</v>
      </c>
      <c r="J15" s="11">
        <v>494.32695951892475</v>
      </c>
      <c r="K15" s="11">
        <v>552.70249999999987</v>
      </c>
      <c r="L15" s="5">
        <f>(K15-J15)/J15</f>
        <v>0.11809095044681713</v>
      </c>
      <c r="O15" s="106"/>
      <c r="P15" s="7" t="s">
        <v>15</v>
      </c>
      <c r="Q15" s="8" t="s">
        <v>16</v>
      </c>
      <c r="R15" s="9" t="s">
        <v>18</v>
      </c>
    </row>
    <row r="16" spans="2:18" ht="15" thickBot="1" x14ac:dyDescent="0.35">
      <c r="B16" s="13" t="s">
        <v>0</v>
      </c>
      <c r="C16" s="14">
        <v>1371.7384615384615</v>
      </c>
      <c r="D16" s="27">
        <v>4.8630468213870968</v>
      </c>
      <c r="E16" s="27">
        <v>6.0286</v>
      </c>
      <c r="F16" s="6">
        <f>(E16-D16)/D16</f>
        <v>0.23967550003568547</v>
      </c>
      <c r="G16" s="14">
        <f>D16*7</f>
        <v>34.04132774970968</v>
      </c>
      <c r="H16" s="15">
        <v>35.117000000000004</v>
      </c>
      <c r="I16" s="6">
        <f>(H16-G16)/G16</f>
        <v>3.159900983296688E-2</v>
      </c>
      <c r="J16" s="14">
        <v>154.34756700853762</v>
      </c>
      <c r="K16" s="14">
        <v>163.06699999999998</v>
      </c>
      <c r="L16" s="6">
        <f>(K16-J16)/J16</f>
        <v>5.6492195895644054E-2</v>
      </c>
      <c r="O16" s="10" t="s">
        <v>12</v>
      </c>
      <c r="P16" s="11">
        <v>14.964206513548387</v>
      </c>
      <c r="Q16" s="3"/>
      <c r="R16" s="5">
        <f>(Q16-P16)/P16</f>
        <v>-1</v>
      </c>
    </row>
    <row r="17" spans="2:18" x14ac:dyDescent="0.3">
      <c r="O17" s="12" t="s">
        <v>13</v>
      </c>
      <c r="P17" s="11">
        <v>10.534519525483869</v>
      </c>
      <c r="Q17" s="3"/>
      <c r="R17" s="5">
        <f>(Q17-P17)/P17</f>
        <v>-1</v>
      </c>
    </row>
    <row r="18" spans="2:18" x14ac:dyDescent="0.3">
      <c r="O18" s="12" t="s">
        <v>14</v>
      </c>
      <c r="P18" s="11">
        <v>15.851425093225807</v>
      </c>
      <c r="Q18" s="3"/>
      <c r="R18" s="5">
        <f>(Q18-P18)/P18</f>
        <v>-1</v>
      </c>
    </row>
    <row r="19" spans="2:18" ht="15" thickBot="1" x14ac:dyDescent="0.35">
      <c r="O19" s="13" t="s">
        <v>0</v>
      </c>
      <c r="P19" s="14">
        <v>4.8630468213870968</v>
      </c>
      <c r="Q19" s="15"/>
      <c r="R19" s="6">
        <f>(Q19-P19)/P19</f>
        <v>-1</v>
      </c>
    </row>
    <row r="20" spans="2:18" x14ac:dyDescent="0.3">
      <c r="B20" s="100" t="s">
        <v>17</v>
      </c>
      <c r="C20" s="102" t="s">
        <v>55</v>
      </c>
      <c r="D20" s="103"/>
      <c r="E20" s="103"/>
      <c r="F20" s="104"/>
      <c r="G20" s="102" t="s">
        <v>22</v>
      </c>
      <c r="H20" s="103"/>
      <c r="I20" s="104"/>
      <c r="J20" s="102" t="s">
        <v>23</v>
      </c>
      <c r="K20" s="103"/>
      <c r="L20" s="104"/>
    </row>
    <row r="21" spans="2:18" ht="15" thickBot="1" x14ac:dyDescent="0.35">
      <c r="B21" s="101"/>
      <c r="C21" s="7" t="s">
        <v>34</v>
      </c>
      <c r="D21" s="7" t="s">
        <v>15</v>
      </c>
      <c r="E21" s="7" t="s">
        <v>16</v>
      </c>
      <c r="F21" s="9" t="s">
        <v>18</v>
      </c>
      <c r="G21" s="7" t="s">
        <v>15</v>
      </c>
      <c r="H21" s="8" t="s">
        <v>16</v>
      </c>
      <c r="I21" s="9" t="s">
        <v>18</v>
      </c>
      <c r="J21" s="7" t="s">
        <v>15</v>
      </c>
      <c r="K21" s="7" t="s">
        <v>16</v>
      </c>
      <c r="L21" s="9" t="s">
        <v>18</v>
      </c>
    </row>
    <row r="22" spans="2:18" x14ac:dyDescent="0.3">
      <c r="B22" s="10" t="s">
        <v>12</v>
      </c>
      <c r="C22" s="11">
        <v>1397.1583333333335</v>
      </c>
      <c r="D22" s="26">
        <v>14.964206513548387</v>
      </c>
      <c r="E22" s="26">
        <v>20.317608</v>
      </c>
      <c r="F22" s="5">
        <f>(E22-D22)/D22</f>
        <v>0.35774710016229172</v>
      </c>
      <c r="G22" s="11">
        <f>D22*7</f>
        <v>104.7494455948387</v>
      </c>
      <c r="H22" s="3">
        <v>115.86</v>
      </c>
      <c r="I22" s="5">
        <f>(H22-G22)/G22</f>
        <v>0.10606790653705134</v>
      </c>
      <c r="J22" s="11">
        <v>469.51</v>
      </c>
      <c r="K22" s="11">
        <v>500</v>
      </c>
      <c r="L22" s="5">
        <f>(K22-J22)/J22</f>
        <v>6.4940043875529832E-2</v>
      </c>
    </row>
    <row r="23" spans="2:18" x14ac:dyDescent="0.3">
      <c r="B23" s="12" t="s">
        <v>13</v>
      </c>
      <c r="C23" s="11">
        <v>1397.1583333333335</v>
      </c>
      <c r="D23" s="26">
        <v>10.534519525483869</v>
      </c>
      <c r="E23" s="26">
        <v>14.09</v>
      </c>
      <c r="F23" s="5">
        <f>(E23-D23)/D23</f>
        <v>0.33750760686475839</v>
      </c>
      <c r="G23" s="11">
        <f t="shared" ref="G23" si="2">D23*7</f>
        <v>73.741636678387081</v>
      </c>
      <c r="H23" s="3">
        <v>80.650000000000006</v>
      </c>
      <c r="I23" s="5">
        <f>(H23-G23)/G23</f>
        <v>9.3683346787415356E-2</v>
      </c>
      <c r="J23" s="11">
        <v>328.63</v>
      </c>
      <c r="K23" s="11">
        <v>376.47</v>
      </c>
      <c r="L23" s="5">
        <f>(K23-J23)/J23</f>
        <v>0.14557404984328889</v>
      </c>
    </row>
    <row r="24" spans="2:18" x14ac:dyDescent="0.3">
      <c r="B24" s="12" t="s">
        <v>14</v>
      </c>
      <c r="C24" s="11">
        <v>1097.0833333333333</v>
      </c>
      <c r="D24" s="26">
        <v>15.851425093225807</v>
      </c>
      <c r="E24" s="26">
        <v>21.199000000000002</v>
      </c>
      <c r="F24" s="5">
        <f>(E24-D24)/D24</f>
        <v>0.337356097342914</v>
      </c>
      <c r="G24" s="11">
        <f>D24*7</f>
        <v>110.95997565258065</v>
      </c>
      <c r="H24" s="3">
        <v>125.88</v>
      </c>
      <c r="I24" s="5">
        <f>(H24-G24)/G24</f>
        <v>0.1344631184323114</v>
      </c>
      <c r="J24" s="11">
        <v>493.36</v>
      </c>
      <c r="K24" s="11">
        <v>563.77</v>
      </c>
      <c r="L24" s="5">
        <f>(K24-J24)/J24</f>
        <v>0.14271525863466833</v>
      </c>
    </row>
    <row r="25" spans="2:18" ht="15" thickBot="1" x14ac:dyDescent="0.35">
      <c r="B25" s="13" t="s">
        <v>0</v>
      </c>
      <c r="C25" s="14">
        <v>1366.6307692307689</v>
      </c>
      <c r="D25" s="27">
        <v>4.8630468213870968</v>
      </c>
      <c r="E25" s="27">
        <v>5.6890000000000001</v>
      </c>
      <c r="F25" s="6">
        <f>(E25-D25)/D25</f>
        <v>0.16984273624108662</v>
      </c>
      <c r="G25" s="14">
        <f>D25*7</f>
        <v>34.04132774970968</v>
      </c>
      <c r="H25" s="15">
        <v>37.229999999999997</v>
      </c>
      <c r="I25" s="6">
        <f>(H25-G25)/G25</f>
        <v>9.3670619246557188E-2</v>
      </c>
      <c r="J25" s="14">
        <v>153.97</v>
      </c>
      <c r="K25" s="14">
        <v>164.24</v>
      </c>
      <c r="L25" s="6">
        <f>(K25-J25)/J25</f>
        <v>6.6701305449113527E-2</v>
      </c>
    </row>
    <row r="27" spans="2:18" x14ac:dyDescent="0.3">
      <c r="D27" s="25"/>
    </row>
    <row r="36" spans="2:6" x14ac:dyDescent="0.3">
      <c r="F36" s="77"/>
    </row>
    <row r="37" spans="2:6" x14ac:dyDescent="0.3">
      <c r="B37" s="77"/>
      <c r="D37" s="77"/>
      <c r="F37" s="77"/>
    </row>
    <row r="38" spans="2:6" x14ac:dyDescent="0.3">
      <c r="B38" s="77"/>
      <c r="D38" s="77"/>
      <c r="F38" s="77"/>
    </row>
    <row r="39" spans="2:6" x14ac:dyDescent="0.3">
      <c r="B39" s="77"/>
      <c r="D39" s="77"/>
      <c r="F39" s="77"/>
    </row>
    <row r="40" spans="2:6" x14ac:dyDescent="0.3">
      <c r="B40" s="77"/>
      <c r="D40" s="77"/>
      <c r="F40" s="77"/>
    </row>
    <row r="41" spans="2:6" x14ac:dyDescent="0.3">
      <c r="B41" s="77"/>
      <c r="D41" s="77"/>
      <c r="F41" s="77"/>
    </row>
    <row r="42" spans="2:6" x14ac:dyDescent="0.3">
      <c r="B42" s="77"/>
      <c r="D42" s="77"/>
      <c r="F42" s="77"/>
    </row>
    <row r="43" spans="2:6" x14ac:dyDescent="0.3">
      <c r="B43" s="77"/>
      <c r="D43" s="77"/>
      <c r="F43" s="77"/>
    </row>
    <row r="44" spans="2:6" x14ac:dyDescent="0.3">
      <c r="B44" s="77"/>
      <c r="D44" s="77"/>
      <c r="F44" s="77"/>
    </row>
    <row r="45" spans="2:6" x14ac:dyDescent="0.3">
      <c r="B45" s="77"/>
      <c r="D45" s="77"/>
      <c r="F45" s="77"/>
    </row>
    <row r="46" spans="2:6" x14ac:dyDescent="0.3">
      <c r="B46" s="77"/>
      <c r="D46" s="77"/>
      <c r="F46" s="77"/>
    </row>
    <row r="47" spans="2:6" x14ac:dyDescent="0.3">
      <c r="B47" s="77"/>
      <c r="D47" s="77"/>
      <c r="F47" s="77"/>
    </row>
    <row r="48" spans="2:6" x14ac:dyDescent="0.3">
      <c r="F48" s="77"/>
    </row>
    <row r="79" spans="6:21" ht="15" thickBot="1" x14ac:dyDescent="0.35"/>
    <row r="80" spans="6:21" x14ac:dyDescent="0.3">
      <c r="F80" s="105"/>
      <c r="I80" s="105"/>
      <c r="L80" s="105" t="s">
        <v>17</v>
      </c>
      <c r="M80" s="102" t="s">
        <v>19</v>
      </c>
      <c r="N80" s="103"/>
      <c r="O80" s="104"/>
      <c r="P80" s="107" t="s">
        <v>22</v>
      </c>
      <c r="Q80" s="108"/>
      <c r="R80" s="109"/>
      <c r="S80" s="107" t="s">
        <v>23</v>
      </c>
      <c r="T80" s="108"/>
      <c r="U80" s="109"/>
    </row>
    <row r="81" spans="1:21" ht="15" thickBot="1" x14ac:dyDescent="0.35">
      <c r="F81" s="106"/>
      <c r="I81" s="106"/>
      <c r="L81" s="106"/>
      <c r="M81" s="7" t="s">
        <v>15</v>
      </c>
      <c r="N81" s="8" t="s">
        <v>16</v>
      </c>
      <c r="O81" s="17" t="s">
        <v>18</v>
      </c>
      <c r="P81" s="18" t="s">
        <v>15</v>
      </c>
      <c r="Q81" s="19" t="s">
        <v>16</v>
      </c>
      <c r="R81" s="20" t="s">
        <v>18</v>
      </c>
      <c r="S81" s="18" t="s">
        <v>15</v>
      </c>
      <c r="T81" s="19" t="s">
        <v>16</v>
      </c>
      <c r="U81" s="20" t="s">
        <v>18</v>
      </c>
    </row>
    <row r="82" spans="1:21" x14ac:dyDescent="0.3">
      <c r="F82" s="10"/>
      <c r="I82" s="10"/>
      <c r="L82" s="10" t="s">
        <v>12</v>
      </c>
      <c r="M82" s="11">
        <v>14.964206513548387</v>
      </c>
      <c r="N82" s="3">
        <v>19.949200000000001</v>
      </c>
      <c r="O82" s="21">
        <f>(N82-M82)/M82</f>
        <v>0.33312781950304349</v>
      </c>
      <c r="P82" s="11">
        <f>M82*7</f>
        <v>104.7494455948387</v>
      </c>
      <c r="Q82" s="3">
        <v>92.642199999999988</v>
      </c>
      <c r="R82" s="5">
        <f>(Q82-P82)/P82</f>
        <v>-0.11558290858806486</v>
      </c>
      <c r="S82" s="11">
        <f>M82*31</f>
        <v>463.89040191999999</v>
      </c>
      <c r="T82" s="3">
        <v>472.65</v>
      </c>
      <c r="U82" s="5">
        <f>(T82-S82)/S82</f>
        <v>1.8882904332025007E-2</v>
      </c>
    </row>
    <row r="83" spans="1:21" x14ac:dyDescent="0.3">
      <c r="F83" s="12"/>
      <c r="I83" s="12"/>
      <c r="L83" s="12" t="s">
        <v>13</v>
      </c>
      <c r="M83" s="11">
        <v>10.534519525483869</v>
      </c>
      <c r="N83" s="3">
        <v>14.306600000000001</v>
      </c>
      <c r="O83" s="21">
        <f>(N83-M83)/M83</f>
        <v>0.35806858256716495</v>
      </c>
      <c r="P83" s="11">
        <f>M83*7</f>
        <v>73.741636678387081</v>
      </c>
      <c r="Q83" s="3">
        <v>71.139799999999994</v>
      </c>
      <c r="R83" s="5">
        <f>(Q83-P83)/P83</f>
        <v>-3.5283142544484086E-2</v>
      </c>
      <c r="S83" s="11">
        <f>M83*31</f>
        <v>326.57010528999996</v>
      </c>
      <c r="T83" s="3">
        <v>379.95000000000005</v>
      </c>
      <c r="U83" s="5">
        <f>(T83-S83)/S83</f>
        <v>0.16345615794378304</v>
      </c>
    </row>
    <row r="84" spans="1:21" x14ac:dyDescent="0.3">
      <c r="F84" s="12"/>
      <c r="I84" s="12"/>
      <c r="L84" s="12" t="s">
        <v>14</v>
      </c>
      <c r="M84" s="11">
        <v>15.851425093225807</v>
      </c>
      <c r="N84" s="3">
        <v>20.461899999999996</v>
      </c>
      <c r="O84" s="21">
        <f>(N84-M84)/M84</f>
        <v>0.2908555464041212</v>
      </c>
      <c r="P84" s="11">
        <f>M84*7</f>
        <v>110.95997565258065</v>
      </c>
      <c r="Q84" s="3">
        <v>103.736</v>
      </c>
      <c r="R84" s="5">
        <f>(Q84-P84)/P84</f>
        <v>-6.5104337037700466E-2</v>
      </c>
      <c r="S84" s="11">
        <f>M84*31</f>
        <v>491.39417788999998</v>
      </c>
      <c r="T84" s="3">
        <v>554.67999999999995</v>
      </c>
      <c r="U84" s="5">
        <f>(T84-S84)/S84</f>
        <v>0.12878830266517055</v>
      </c>
    </row>
    <row r="85" spans="1:21" ht="15" thickBot="1" x14ac:dyDescent="0.35">
      <c r="F85" s="13"/>
      <c r="I85" s="13"/>
      <c r="L85" s="13" t="s">
        <v>0</v>
      </c>
      <c r="M85" s="14">
        <v>4.8630468213870968</v>
      </c>
      <c r="N85" s="15">
        <v>5.0401000000000007</v>
      </c>
      <c r="O85" s="22">
        <f>(N85-M85)/M85</f>
        <v>3.6407870439216269E-2</v>
      </c>
      <c r="P85" s="11">
        <f>M85*7</f>
        <v>34.04132774970968</v>
      </c>
      <c r="Q85" s="15">
        <v>34.084099999999999</v>
      </c>
      <c r="R85" s="6">
        <f>(Q85-P85)/P85</f>
        <v>1.2564800822342829E-3</v>
      </c>
      <c r="S85" s="11">
        <f>M85*31</f>
        <v>150.75445146300001</v>
      </c>
      <c r="T85" s="15">
        <v>161.69999999999999</v>
      </c>
      <c r="U85" s="6">
        <f>(T85-S85)/S85</f>
        <v>7.2605143203259698E-2</v>
      </c>
    </row>
    <row r="91" spans="1:21" x14ac:dyDescent="0.3">
      <c r="L91">
        <f>N106*6+16.04*24</f>
        <v>474.74523908129026</v>
      </c>
    </row>
    <row r="92" spans="1:21" x14ac:dyDescent="0.3">
      <c r="L92">
        <f>N107*6+11.2*24</f>
        <v>332.00711715290316</v>
      </c>
    </row>
    <row r="93" spans="1:21" x14ac:dyDescent="0.3">
      <c r="L93">
        <f>N108*6+16.79*24</f>
        <v>498.06855055935483</v>
      </c>
    </row>
    <row r="94" spans="1:21" x14ac:dyDescent="0.3">
      <c r="L94">
        <f>N109*6+5.28*24</f>
        <v>155.89828092832258</v>
      </c>
    </row>
    <row r="95" spans="1:21" x14ac:dyDescent="0.3">
      <c r="A95" s="25"/>
    </row>
    <row r="103" spans="1:28" ht="15" thickBot="1" x14ac:dyDescent="0.35"/>
    <row r="104" spans="1:28" x14ac:dyDescent="0.3">
      <c r="M104" s="105" t="s">
        <v>17</v>
      </c>
      <c r="N104" s="102" t="s">
        <v>21</v>
      </c>
      <c r="O104" s="103"/>
      <c r="P104" s="104"/>
      <c r="Q104" s="102" t="s">
        <v>22</v>
      </c>
      <c r="R104" s="103"/>
      <c r="S104" s="104"/>
      <c r="T104" s="102" t="s">
        <v>23</v>
      </c>
      <c r="U104" s="103"/>
      <c r="V104" s="104"/>
    </row>
    <row r="105" spans="1:28" ht="15" thickBot="1" x14ac:dyDescent="0.35">
      <c r="M105" s="101"/>
      <c r="N105" s="7" t="s">
        <v>15</v>
      </c>
      <c r="O105" s="8" t="s">
        <v>16</v>
      </c>
      <c r="P105" s="9" t="s">
        <v>18</v>
      </c>
      <c r="Q105" s="7" t="s">
        <v>15</v>
      </c>
      <c r="R105" s="8" t="s">
        <v>16</v>
      </c>
      <c r="S105" s="9" t="s">
        <v>18</v>
      </c>
      <c r="T105" s="7" t="s">
        <v>15</v>
      </c>
      <c r="U105" s="8" t="s">
        <v>16</v>
      </c>
      <c r="V105" s="9" t="s">
        <v>18</v>
      </c>
    </row>
    <row r="106" spans="1:28" x14ac:dyDescent="0.3">
      <c r="M106" s="10" t="s">
        <v>12</v>
      </c>
      <c r="N106" s="11">
        <v>14.964206513548387</v>
      </c>
      <c r="O106" s="3">
        <v>16.1388</v>
      </c>
      <c r="P106" s="5">
        <f>(O106-N106)/N106</f>
        <v>7.8493536251865559E-2</v>
      </c>
      <c r="Q106" s="11">
        <f>N106*7</f>
        <v>104.7494455948387</v>
      </c>
      <c r="R106" s="3">
        <v>105.2788</v>
      </c>
      <c r="S106" s="5">
        <f>(R106-Q106)/Q106</f>
        <v>5.0535294211369311E-3</v>
      </c>
      <c r="T106" s="11">
        <v>474.74523908129026</v>
      </c>
      <c r="U106" s="3">
        <v>474.21879999999999</v>
      </c>
      <c r="V106" s="5">
        <f>(U106-T106)/T106</f>
        <v>-1.1088875421036834E-3</v>
      </c>
    </row>
    <row r="107" spans="1:28" x14ac:dyDescent="0.3">
      <c r="M107" s="12" t="s">
        <v>13</v>
      </c>
      <c r="N107" s="11">
        <v>10.534519525483869</v>
      </c>
      <c r="O107" s="3">
        <v>10.726500000000001</v>
      </c>
      <c r="P107" s="5">
        <f>(O107-N107)/N107</f>
        <v>1.8223942160030711E-2</v>
      </c>
      <c r="Q107" s="11">
        <f t="shared" ref="Q107:Q109" si="3">N107*7</f>
        <v>73.741636678387081</v>
      </c>
      <c r="R107" s="3">
        <v>81.856500000000011</v>
      </c>
      <c r="S107" s="5">
        <f>(R107-Q107)/Q107</f>
        <v>0.11004452419471879</v>
      </c>
      <c r="T107" s="11">
        <v>332.00711715290316</v>
      </c>
      <c r="U107" s="3">
        <v>377.50649999999996</v>
      </c>
      <c r="V107" s="5">
        <f>(U107-T107)/T107</f>
        <v>0.13704339604907453</v>
      </c>
    </row>
    <row r="108" spans="1:28" x14ac:dyDescent="0.3">
      <c r="M108" s="12" t="s">
        <v>14</v>
      </c>
      <c r="N108" s="11">
        <v>15.851425093225807</v>
      </c>
      <c r="O108" s="3">
        <v>16.483499999999999</v>
      </c>
      <c r="P108" s="5">
        <f>(O108-N108)/N108</f>
        <v>3.9874957807062635E-2</v>
      </c>
      <c r="Q108" s="11">
        <f t="shared" si="3"/>
        <v>110.95997565258065</v>
      </c>
      <c r="R108" s="3">
        <v>118.6635</v>
      </c>
      <c r="S108" s="5">
        <f>(R108-Q108)/Q108</f>
        <v>6.9426153909219801E-2</v>
      </c>
      <c r="T108" s="11">
        <v>498.06855055935483</v>
      </c>
      <c r="U108" s="3">
        <v>552.65350000000001</v>
      </c>
      <c r="V108" s="5">
        <f>(U108-T108)/T108</f>
        <v>0.10959324651063325</v>
      </c>
      <c r="W108" s="24"/>
      <c r="X108" s="24"/>
      <c r="Y108" s="24"/>
      <c r="AB108" s="24"/>
    </row>
    <row r="109" spans="1:28" ht="15" thickBot="1" x14ac:dyDescent="0.35">
      <c r="M109" s="13" t="s">
        <v>0</v>
      </c>
      <c r="N109" s="14">
        <v>4.8630468213870968</v>
      </c>
      <c r="O109" s="15">
        <v>4.3928000000000003</v>
      </c>
      <c r="P109" s="6">
        <f>(O109-N109)/N109</f>
        <v>-9.6697983519099057E-2</v>
      </c>
      <c r="Q109" s="14">
        <f t="shared" si="3"/>
        <v>34.04132774970968</v>
      </c>
      <c r="R109" s="15">
        <v>38.472799999999999</v>
      </c>
      <c r="S109" s="6">
        <f>(R109-Q109)/Q109</f>
        <v>0.13017918345820437</v>
      </c>
      <c r="T109" s="14">
        <v>155.89828092832258</v>
      </c>
      <c r="U109" s="15">
        <v>160.58279999999999</v>
      </c>
      <c r="V109" s="6">
        <f>(U109-T109)/T109</f>
        <v>3.0048561432381781E-2</v>
      </c>
      <c r="W109" s="24"/>
      <c r="X109" s="24"/>
      <c r="Y109" s="24"/>
      <c r="AB109" s="24"/>
    </row>
    <row r="110" spans="1:28" x14ac:dyDescent="0.3">
      <c r="M110" s="24"/>
      <c r="N110" s="24"/>
      <c r="O110" s="24"/>
      <c r="P110" s="24"/>
      <c r="Q110" s="24"/>
      <c r="R110" s="24"/>
      <c r="S110" s="24"/>
      <c r="T110" s="24"/>
      <c r="U110" s="24"/>
      <c r="V110" s="24"/>
    </row>
    <row r="111" spans="1:28" x14ac:dyDescent="0.3">
      <c r="M111" s="23" t="s">
        <v>25</v>
      </c>
      <c r="N111">
        <v>842.2</v>
      </c>
      <c r="O111" s="24"/>
      <c r="P111" s="24"/>
      <c r="Q111" s="24"/>
      <c r="R111" s="24"/>
      <c r="S111" s="24"/>
      <c r="T111" s="24"/>
      <c r="U111" s="24"/>
      <c r="V111" s="24"/>
    </row>
    <row r="112" spans="1:28" x14ac:dyDescent="0.3">
      <c r="A112" s="24"/>
      <c r="B112" s="24"/>
    </row>
    <row r="119" spans="16:16" x14ac:dyDescent="0.3">
      <c r="P119">
        <f>E5/3</f>
        <v>4.4695666666666662</v>
      </c>
    </row>
    <row r="120" spans="16:16" x14ac:dyDescent="0.3">
      <c r="P120">
        <f>E6/2</f>
        <v>4.2079000000000004</v>
      </c>
    </row>
    <row r="121" spans="16:16" x14ac:dyDescent="0.3">
      <c r="P121">
        <f>E7/3</f>
        <v>4.9915000000000003</v>
      </c>
    </row>
    <row r="122" spans="16:16" x14ac:dyDescent="0.3">
      <c r="P122">
        <v>5.5456000000000003</v>
      </c>
    </row>
  </sheetData>
  <mergeCells count="23">
    <mergeCell ref="B3:B4"/>
    <mergeCell ref="P80:R80"/>
    <mergeCell ref="S80:U80"/>
    <mergeCell ref="O3:O4"/>
    <mergeCell ref="P3:R3"/>
    <mergeCell ref="O14:O15"/>
    <mergeCell ref="P14:R14"/>
    <mergeCell ref="I80:I81"/>
    <mergeCell ref="F80:F81"/>
    <mergeCell ref="B11:B12"/>
    <mergeCell ref="C11:F11"/>
    <mergeCell ref="G11:I11"/>
    <mergeCell ref="J11:L11"/>
    <mergeCell ref="G20:I20"/>
    <mergeCell ref="J20:L20"/>
    <mergeCell ref="M80:O80"/>
    <mergeCell ref="B20:B21"/>
    <mergeCell ref="C20:F20"/>
    <mergeCell ref="Q104:S104"/>
    <mergeCell ref="T104:V104"/>
    <mergeCell ref="L80:L81"/>
    <mergeCell ref="M104:M105"/>
    <mergeCell ref="N104:P104"/>
  </mergeCells>
  <conditionalFormatting sqref="F5:F8">
    <cfRule type="iconSet" priority="7">
      <iconSet iconSet="3Arrows">
        <cfvo type="percent" val="0"/>
        <cfvo type="num" val="0"/>
        <cfvo type="num" val="0" gte="0"/>
      </iconSet>
    </cfRule>
  </conditionalFormatting>
  <conditionalFormatting sqref="F13:F16">
    <cfRule type="iconSet" priority="4">
      <iconSet iconSet="3Arrows">
        <cfvo type="percent" val="0"/>
        <cfvo type="num" val="0"/>
        <cfvo type="num" val="0" gte="0"/>
      </iconSet>
    </cfRule>
  </conditionalFormatting>
  <conditionalFormatting sqref="F22:F25">
    <cfRule type="iconSet" priority="1">
      <iconSet iconSet="3Arrows">
        <cfvo type="percent" val="0"/>
        <cfvo type="num" val="0"/>
        <cfvo type="num" val="0" gte="0"/>
      </iconSet>
    </cfRule>
  </conditionalFormatting>
  <conditionalFormatting sqref="I5:I8">
    <cfRule type="iconSet" priority="8">
      <iconSet iconSet="3Arrows">
        <cfvo type="percent" val="0"/>
        <cfvo type="num" val="0"/>
        <cfvo type="num" val="0" gte="0"/>
      </iconSet>
    </cfRule>
  </conditionalFormatting>
  <conditionalFormatting sqref="I13:I16">
    <cfRule type="iconSet" priority="5">
      <iconSet iconSet="3Arrows">
        <cfvo type="percent" val="0"/>
        <cfvo type="num" val="0"/>
        <cfvo type="num" val="0" gte="0"/>
      </iconSet>
    </cfRule>
  </conditionalFormatting>
  <conditionalFormatting sqref="I22:I25">
    <cfRule type="iconSet" priority="2">
      <iconSet iconSet="3Arrows">
        <cfvo type="percent" val="0"/>
        <cfvo type="num" val="0"/>
        <cfvo type="num" val="0" gte="0"/>
      </iconSet>
    </cfRule>
  </conditionalFormatting>
  <conditionalFormatting sqref="L5:L8">
    <cfRule type="iconSet" priority="9">
      <iconSet iconSet="3Arrows">
        <cfvo type="percent" val="0"/>
        <cfvo type="num" val="0"/>
        <cfvo type="num" val="0" gte="0"/>
      </iconSet>
    </cfRule>
  </conditionalFormatting>
  <conditionalFormatting sqref="L13:L16">
    <cfRule type="iconSet" priority="6">
      <iconSet iconSet="3Arrows">
        <cfvo type="percent" val="0"/>
        <cfvo type="num" val="0"/>
        <cfvo type="num" val="0" gte="0"/>
      </iconSet>
    </cfRule>
  </conditionalFormatting>
  <conditionalFormatting sqref="L22:L25">
    <cfRule type="iconSet" priority="3">
      <iconSet iconSet="3Arrows">
        <cfvo type="percent" val="0"/>
        <cfvo type="num" val="0"/>
        <cfvo type="num" val="0" gte="0"/>
      </iconSet>
    </cfRule>
  </conditionalFormatting>
  <conditionalFormatting sqref="O82:O85">
    <cfRule type="iconSet" priority="18">
      <iconSet iconSet="3Arrows">
        <cfvo type="percent" val="0"/>
        <cfvo type="num" val="0"/>
        <cfvo type="num" val="0" gte="0"/>
      </iconSet>
    </cfRule>
  </conditionalFormatting>
  <conditionalFormatting sqref="P106:P109">
    <cfRule type="iconSet" priority="16">
      <iconSet iconSet="3Arrows">
        <cfvo type="percent" val="0"/>
        <cfvo type="num" val="0"/>
        <cfvo type="num" val="0" gte="0"/>
      </iconSet>
    </cfRule>
  </conditionalFormatting>
  <conditionalFormatting sqref="R5:R8">
    <cfRule type="iconSet" priority="21">
      <iconSet iconSet="3Arrows">
        <cfvo type="percent" val="0"/>
        <cfvo type="num" val="0"/>
        <cfvo type="num" val="0" gte="0"/>
      </iconSet>
    </cfRule>
  </conditionalFormatting>
  <conditionalFormatting sqref="R16:R19">
    <cfRule type="iconSet" priority="20">
      <iconSet iconSet="3Arrows">
        <cfvo type="percent" val="0"/>
        <cfvo type="num" val="0"/>
        <cfvo type="num" val="0" gte="0"/>
      </iconSet>
    </cfRule>
  </conditionalFormatting>
  <conditionalFormatting sqref="R82:R85">
    <cfRule type="iconSet" priority="19">
      <iconSet iconSet="3Arrows">
        <cfvo type="percent" val="0"/>
        <cfvo type="num" val="0"/>
        <cfvo type="num" val="0" gte="0"/>
      </iconSet>
    </cfRule>
  </conditionalFormatting>
  <conditionalFormatting sqref="S106:S109">
    <cfRule type="iconSet" priority="15">
      <iconSet iconSet="3Arrows">
        <cfvo type="percent" val="0"/>
        <cfvo type="num" val="0"/>
        <cfvo type="num" val="0" gte="0"/>
      </iconSet>
    </cfRule>
  </conditionalFormatting>
  <conditionalFormatting sqref="U82:U85">
    <cfRule type="iconSet" priority="17">
      <iconSet iconSet="3Arrows">
        <cfvo type="percent" val="0"/>
        <cfvo type="num" val="0"/>
        <cfvo type="num" val="0" gte="0"/>
      </iconSet>
    </cfRule>
  </conditionalFormatting>
  <conditionalFormatting sqref="V106:V109">
    <cfRule type="iconSet" priority="14">
      <iconSet iconSet="3Arrows">
        <cfvo type="percent" val="0"/>
        <cfvo type="num" val="0"/>
        <cfvo type="num" val="0" gte="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E57F9-A4EA-4E3A-8507-646E3334DE15}">
  <dimension ref="A1:M80"/>
  <sheetViews>
    <sheetView tabSelected="1" topLeftCell="B1" workbookViewId="0">
      <pane ySplit="2" topLeftCell="A66" activePane="bottomLeft" state="frozen"/>
      <selection pane="bottomLeft" activeCell="H86" sqref="H86"/>
    </sheetView>
  </sheetViews>
  <sheetFormatPr defaultRowHeight="14.4" x14ac:dyDescent="0.3"/>
  <cols>
    <col min="1" max="1" width="11.5546875" bestFit="1" customWidth="1"/>
    <col min="2" max="3" width="10.109375" bestFit="1" customWidth="1"/>
    <col min="4" max="4" width="11.5546875" bestFit="1" customWidth="1"/>
    <col min="5" max="5" width="10.109375" bestFit="1" customWidth="1"/>
    <col min="6" max="6" width="9.5546875" bestFit="1" customWidth="1"/>
    <col min="7" max="9" width="10.109375" bestFit="1" customWidth="1"/>
    <col min="10" max="10" width="11.5546875" customWidth="1"/>
    <col min="11" max="11" width="10.5546875" bestFit="1" customWidth="1"/>
  </cols>
  <sheetData>
    <row r="1" spans="1:11" x14ac:dyDescent="0.3">
      <c r="A1" t="s">
        <v>2</v>
      </c>
      <c r="B1" t="s">
        <v>42</v>
      </c>
      <c r="C1" t="s">
        <v>43</v>
      </c>
      <c r="D1" t="s">
        <v>3</v>
      </c>
      <c r="E1" t="s">
        <v>44</v>
      </c>
      <c r="F1" t="s">
        <v>10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 spans="1:11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9</v>
      </c>
      <c r="H2" t="s">
        <v>8</v>
      </c>
      <c r="I2" t="s">
        <v>11</v>
      </c>
      <c r="J2" t="s">
        <v>41</v>
      </c>
      <c r="K2" t="s">
        <v>50</v>
      </c>
    </row>
    <row r="3" spans="1:11" x14ac:dyDescent="0.3">
      <c r="A3">
        <v>1.99</v>
      </c>
      <c r="B3">
        <v>3.95</v>
      </c>
      <c r="C3">
        <v>4.1399999999999997</v>
      </c>
      <c r="D3">
        <v>4.09</v>
      </c>
      <c r="E3">
        <v>4.18</v>
      </c>
      <c r="F3">
        <v>3.29</v>
      </c>
      <c r="G3">
        <v>3.84</v>
      </c>
      <c r="H3">
        <v>3.75</v>
      </c>
      <c r="I3">
        <v>0</v>
      </c>
      <c r="J3" t="s">
        <v>41</v>
      </c>
      <c r="K3" s="78">
        <v>46106</v>
      </c>
    </row>
    <row r="4" spans="1:11" x14ac:dyDescent="0.3">
      <c r="A4">
        <v>3.7</v>
      </c>
      <c r="B4">
        <v>4.7699999999999996</v>
      </c>
      <c r="C4">
        <v>5.04</v>
      </c>
      <c r="D4">
        <v>4.8499999999999996</v>
      </c>
      <c r="E4">
        <v>5.01</v>
      </c>
      <c r="F4">
        <v>4.79</v>
      </c>
      <c r="G4">
        <v>5.43</v>
      </c>
      <c r="H4">
        <v>5.46</v>
      </c>
      <c r="I4">
        <v>5.1100000000000003</v>
      </c>
      <c r="J4" t="s">
        <v>41</v>
      </c>
      <c r="K4" s="78">
        <v>46107</v>
      </c>
    </row>
    <row r="5" spans="1:11" x14ac:dyDescent="0.3">
      <c r="A5">
        <v>5.51</v>
      </c>
      <c r="B5">
        <v>6.28</v>
      </c>
      <c r="C5">
        <v>6.34</v>
      </c>
      <c r="D5">
        <v>6.54</v>
      </c>
      <c r="E5">
        <v>6.63</v>
      </c>
      <c r="F5">
        <v>6.36</v>
      </c>
      <c r="G5">
        <v>7.4</v>
      </c>
      <c r="H5">
        <v>7.46</v>
      </c>
      <c r="I5">
        <v>1.56</v>
      </c>
      <c r="J5" t="s">
        <v>41</v>
      </c>
      <c r="K5" s="78">
        <v>46108</v>
      </c>
    </row>
    <row r="6" spans="1:11" x14ac:dyDescent="0.3">
      <c r="A6">
        <v>3.72</v>
      </c>
      <c r="B6">
        <v>6.01</v>
      </c>
      <c r="C6">
        <v>6.04</v>
      </c>
      <c r="D6">
        <v>6.22</v>
      </c>
      <c r="E6">
        <v>6.34</v>
      </c>
      <c r="F6">
        <v>5.48</v>
      </c>
      <c r="G6">
        <v>6.25</v>
      </c>
      <c r="H6">
        <v>6.19</v>
      </c>
      <c r="I6">
        <v>5.19</v>
      </c>
      <c r="J6" t="s">
        <v>41</v>
      </c>
      <c r="K6" s="78">
        <v>46109</v>
      </c>
    </row>
    <row r="7" spans="1:11" x14ac:dyDescent="0.3">
      <c r="A7">
        <v>4.08</v>
      </c>
      <c r="B7">
        <v>6.65</v>
      </c>
      <c r="C7">
        <v>6.71</v>
      </c>
      <c r="D7">
        <v>6.86</v>
      </c>
      <c r="E7">
        <v>6.9</v>
      </c>
      <c r="F7">
        <v>5.73</v>
      </c>
      <c r="G7">
        <v>6.62</v>
      </c>
      <c r="H7">
        <v>6.6</v>
      </c>
      <c r="I7">
        <v>4.7300000000000004</v>
      </c>
      <c r="J7" t="s">
        <v>41</v>
      </c>
      <c r="K7" s="78">
        <v>46110</v>
      </c>
    </row>
    <row r="8" spans="1:11" x14ac:dyDescent="0.3">
      <c r="A8">
        <v>4.8499999999999996</v>
      </c>
      <c r="B8">
        <v>6.5</v>
      </c>
      <c r="C8">
        <v>6.63</v>
      </c>
      <c r="D8">
        <v>6.73</v>
      </c>
      <c r="E8">
        <v>6.73</v>
      </c>
      <c r="F8">
        <v>5.66</v>
      </c>
      <c r="G8">
        <v>6.49</v>
      </c>
      <c r="H8">
        <v>6.4</v>
      </c>
      <c r="I8">
        <v>5.82</v>
      </c>
      <c r="J8" t="s">
        <v>41</v>
      </c>
      <c r="K8" s="78">
        <v>46111</v>
      </c>
    </row>
    <row r="9" spans="1:11" x14ac:dyDescent="0.3">
      <c r="A9">
        <v>3.73</v>
      </c>
      <c r="B9">
        <v>5.95</v>
      </c>
      <c r="C9">
        <v>6.94</v>
      </c>
      <c r="D9">
        <v>6.24</v>
      </c>
      <c r="E9">
        <v>6.25</v>
      </c>
      <c r="F9">
        <v>5.56</v>
      </c>
      <c r="G9">
        <v>6.74</v>
      </c>
      <c r="H9">
        <v>6.85</v>
      </c>
      <c r="I9">
        <v>5.52</v>
      </c>
      <c r="J9" t="s">
        <v>41</v>
      </c>
      <c r="K9" s="78">
        <v>46112</v>
      </c>
    </row>
    <row r="10" spans="1:11" x14ac:dyDescent="0.3">
      <c r="A10">
        <v>4.74</v>
      </c>
      <c r="B10">
        <v>5.44</v>
      </c>
      <c r="C10">
        <v>5.54</v>
      </c>
      <c r="D10">
        <v>5.61</v>
      </c>
      <c r="E10">
        <v>5.65</v>
      </c>
      <c r="F10">
        <v>4.83</v>
      </c>
      <c r="G10">
        <v>5.48</v>
      </c>
      <c r="H10">
        <v>5.46</v>
      </c>
      <c r="I10">
        <v>5.99</v>
      </c>
      <c r="J10" t="s">
        <v>41</v>
      </c>
      <c r="K10" s="78">
        <v>46113</v>
      </c>
    </row>
    <row r="11" spans="1:11" x14ac:dyDescent="0.3">
      <c r="A11">
        <v>2.81</v>
      </c>
      <c r="B11">
        <v>5.54</v>
      </c>
      <c r="C11">
        <v>5.69</v>
      </c>
      <c r="D11">
        <v>5.76</v>
      </c>
      <c r="E11">
        <v>5.76</v>
      </c>
      <c r="F11">
        <v>5.79</v>
      </c>
      <c r="G11">
        <v>6.55</v>
      </c>
      <c r="H11">
        <v>6.45</v>
      </c>
      <c r="I11">
        <v>5.58</v>
      </c>
      <c r="J11" t="s">
        <v>41</v>
      </c>
      <c r="K11" s="78">
        <v>46114</v>
      </c>
    </row>
    <row r="12" spans="1:11" x14ac:dyDescent="0.3">
      <c r="A12">
        <v>3.8</v>
      </c>
      <c r="B12">
        <v>6.14</v>
      </c>
      <c r="C12">
        <v>6.09</v>
      </c>
      <c r="D12">
        <v>6.35</v>
      </c>
      <c r="E12">
        <v>6.72</v>
      </c>
      <c r="F12">
        <v>5.87</v>
      </c>
      <c r="G12">
        <v>6.64</v>
      </c>
      <c r="H12">
        <v>6.54</v>
      </c>
      <c r="I12">
        <v>5.48</v>
      </c>
      <c r="J12" t="s">
        <v>41</v>
      </c>
      <c r="K12" s="78">
        <v>46115</v>
      </c>
    </row>
    <row r="13" spans="1:11" x14ac:dyDescent="0.3">
      <c r="A13">
        <v>3.15</v>
      </c>
      <c r="B13">
        <v>5.03</v>
      </c>
      <c r="C13">
        <v>5.18</v>
      </c>
      <c r="D13">
        <v>5.44</v>
      </c>
      <c r="E13">
        <v>5.71</v>
      </c>
      <c r="F13">
        <v>5.63</v>
      </c>
      <c r="G13">
        <v>6.55</v>
      </c>
      <c r="H13">
        <v>6.47</v>
      </c>
      <c r="I13">
        <v>5.87</v>
      </c>
      <c r="J13" t="s">
        <v>41</v>
      </c>
      <c r="K13" s="78">
        <v>46116</v>
      </c>
    </row>
    <row r="14" spans="1:11" x14ac:dyDescent="0.3">
      <c r="A14">
        <v>3.04</v>
      </c>
      <c r="B14">
        <v>6.1</v>
      </c>
      <c r="C14">
        <v>6.17</v>
      </c>
      <c r="D14">
        <v>6.34</v>
      </c>
      <c r="E14">
        <v>6.29</v>
      </c>
      <c r="F14">
        <v>6.27</v>
      </c>
      <c r="G14">
        <v>7.17</v>
      </c>
      <c r="H14">
        <v>7.23</v>
      </c>
      <c r="I14">
        <v>6.43</v>
      </c>
      <c r="J14" t="s">
        <v>41</v>
      </c>
      <c r="K14" s="78">
        <v>46117</v>
      </c>
    </row>
    <row r="15" spans="1:11" x14ac:dyDescent="0.3">
      <c r="A15">
        <v>1.43</v>
      </c>
      <c r="B15">
        <v>6.49</v>
      </c>
      <c r="C15">
        <v>6.65</v>
      </c>
      <c r="D15">
        <v>6.63</v>
      </c>
      <c r="E15">
        <v>6.54</v>
      </c>
      <c r="F15">
        <v>5.68</v>
      </c>
      <c r="G15">
        <v>6.51</v>
      </c>
      <c r="H15">
        <v>6.32</v>
      </c>
      <c r="I15">
        <v>5.51</v>
      </c>
      <c r="J15" t="s">
        <v>41</v>
      </c>
      <c r="K15" s="78">
        <v>46118</v>
      </c>
    </row>
    <row r="16" spans="1:11" x14ac:dyDescent="0.3">
      <c r="A16">
        <v>0</v>
      </c>
      <c r="B16">
        <v>5.54</v>
      </c>
      <c r="C16">
        <v>5.76</v>
      </c>
      <c r="D16">
        <v>5.71</v>
      </c>
      <c r="E16">
        <v>5.76</v>
      </c>
      <c r="F16">
        <v>4.8899999999999997</v>
      </c>
      <c r="G16">
        <v>5.88</v>
      </c>
      <c r="H16">
        <v>5.72</v>
      </c>
      <c r="I16">
        <v>4.8</v>
      </c>
      <c r="J16" t="s">
        <v>41</v>
      </c>
      <c r="K16" s="78">
        <v>46119</v>
      </c>
    </row>
    <row r="17" spans="1:11" x14ac:dyDescent="0.3">
      <c r="A17">
        <v>0</v>
      </c>
      <c r="B17">
        <v>6.33</v>
      </c>
      <c r="C17">
        <v>6.5</v>
      </c>
      <c r="D17">
        <v>6.78</v>
      </c>
      <c r="E17">
        <v>7.12</v>
      </c>
      <c r="F17">
        <v>5.92</v>
      </c>
      <c r="G17">
        <v>6.98</v>
      </c>
      <c r="H17">
        <v>6.89</v>
      </c>
      <c r="I17">
        <v>4.91</v>
      </c>
      <c r="J17" t="s">
        <v>41</v>
      </c>
      <c r="K17" s="78">
        <v>46120</v>
      </c>
    </row>
    <row r="18" spans="1:11" x14ac:dyDescent="0.3">
      <c r="A18">
        <v>0</v>
      </c>
      <c r="B18">
        <v>6.15</v>
      </c>
      <c r="C18">
        <v>6.41</v>
      </c>
      <c r="D18">
        <v>6.39</v>
      </c>
      <c r="E18">
        <v>6.49</v>
      </c>
      <c r="F18">
        <v>5.95</v>
      </c>
      <c r="G18">
        <v>6.87</v>
      </c>
      <c r="H18">
        <v>6.88</v>
      </c>
      <c r="I18">
        <v>5.66</v>
      </c>
      <c r="J18" t="s">
        <v>41</v>
      </c>
      <c r="K18" s="78">
        <v>46121</v>
      </c>
    </row>
    <row r="19" spans="1:11" x14ac:dyDescent="0.3">
      <c r="A19">
        <v>0</v>
      </c>
      <c r="B19">
        <v>5.09</v>
      </c>
      <c r="C19">
        <v>5.2</v>
      </c>
      <c r="D19">
        <v>5.31</v>
      </c>
      <c r="E19">
        <v>5.41</v>
      </c>
      <c r="F19">
        <v>3.32</v>
      </c>
      <c r="G19">
        <v>4.45</v>
      </c>
      <c r="H19">
        <v>4.32</v>
      </c>
      <c r="I19">
        <v>4.25</v>
      </c>
      <c r="J19" t="s">
        <v>41</v>
      </c>
      <c r="K19" s="78">
        <v>46122</v>
      </c>
    </row>
    <row r="20" spans="1:11" x14ac:dyDescent="0.3">
      <c r="A20">
        <v>0</v>
      </c>
      <c r="B20">
        <v>3.59</v>
      </c>
      <c r="C20">
        <v>3.68</v>
      </c>
      <c r="D20">
        <v>3.82</v>
      </c>
      <c r="E20">
        <v>3.87</v>
      </c>
      <c r="F20">
        <v>3.1</v>
      </c>
      <c r="G20">
        <v>3.52</v>
      </c>
      <c r="H20">
        <v>3.51</v>
      </c>
      <c r="I20">
        <v>4.5199999999999996</v>
      </c>
      <c r="J20" t="s">
        <v>41</v>
      </c>
      <c r="K20" s="78">
        <v>46123</v>
      </c>
    </row>
    <row r="21" spans="1:11" x14ac:dyDescent="0.3">
      <c r="A21">
        <v>0</v>
      </c>
      <c r="B21">
        <v>4.01</v>
      </c>
      <c r="C21">
        <v>4.1100000000000003</v>
      </c>
      <c r="D21">
        <v>4.2</v>
      </c>
      <c r="E21">
        <v>4.2</v>
      </c>
      <c r="F21">
        <v>4.0599999999999996</v>
      </c>
      <c r="G21">
        <v>4.63</v>
      </c>
      <c r="H21">
        <v>4.5999999999999996</v>
      </c>
      <c r="I21">
        <v>2.83</v>
      </c>
      <c r="J21" t="s">
        <v>41</v>
      </c>
      <c r="K21" s="78">
        <v>46124</v>
      </c>
    </row>
    <row r="22" spans="1:11" x14ac:dyDescent="0.3">
      <c r="A22">
        <v>0</v>
      </c>
      <c r="B22">
        <v>4.99</v>
      </c>
      <c r="C22">
        <v>5.12</v>
      </c>
      <c r="D22">
        <v>5.19</v>
      </c>
      <c r="E22">
        <v>5.34</v>
      </c>
      <c r="F22">
        <v>4.8600000000000003</v>
      </c>
      <c r="G22">
        <v>5.81</v>
      </c>
      <c r="H22">
        <v>5.72</v>
      </c>
      <c r="I22">
        <v>5.35</v>
      </c>
      <c r="J22" t="s">
        <v>41</v>
      </c>
      <c r="K22" s="78">
        <v>46125</v>
      </c>
    </row>
    <row r="23" spans="1:11" x14ac:dyDescent="0.3">
      <c r="A23">
        <v>7.44</v>
      </c>
      <c r="B23">
        <v>7.42</v>
      </c>
      <c r="C23">
        <v>7.46</v>
      </c>
      <c r="D23">
        <v>7.68</v>
      </c>
      <c r="E23">
        <v>7.69</v>
      </c>
      <c r="F23">
        <v>6.09</v>
      </c>
      <c r="G23">
        <v>7.83</v>
      </c>
      <c r="H23">
        <v>7.74</v>
      </c>
      <c r="I23">
        <v>5.82</v>
      </c>
      <c r="J23" t="s">
        <v>41</v>
      </c>
      <c r="K23" s="78">
        <v>46126</v>
      </c>
    </row>
    <row r="24" spans="1:11" x14ac:dyDescent="0.3">
      <c r="A24">
        <v>6.39</v>
      </c>
      <c r="B24">
        <v>7.28</v>
      </c>
      <c r="C24">
        <v>7.36</v>
      </c>
      <c r="D24">
        <v>7.51</v>
      </c>
      <c r="E24">
        <v>7.55</v>
      </c>
      <c r="F24">
        <v>6.46</v>
      </c>
      <c r="G24">
        <v>7.53</v>
      </c>
      <c r="H24">
        <v>7.57</v>
      </c>
      <c r="I24">
        <v>6.83</v>
      </c>
      <c r="J24" t="s">
        <v>41</v>
      </c>
      <c r="K24" s="78">
        <v>46127</v>
      </c>
    </row>
    <row r="25" spans="1:11" x14ac:dyDescent="0.3">
      <c r="A25">
        <v>5.3</v>
      </c>
      <c r="B25">
        <v>6.97</v>
      </c>
      <c r="C25">
        <v>7.04</v>
      </c>
      <c r="D25">
        <v>7.2</v>
      </c>
      <c r="E25">
        <v>7.24</v>
      </c>
      <c r="F25">
        <v>6.32</v>
      </c>
      <c r="G25">
        <v>7.2</v>
      </c>
      <c r="H25">
        <v>7.15</v>
      </c>
      <c r="I25">
        <v>6.72</v>
      </c>
      <c r="J25" t="s">
        <v>41</v>
      </c>
      <c r="K25" s="78">
        <v>46128</v>
      </c>
    </row>
    <row r="26" spans="1:11" x14ac:dyDescent="0.3">
      <c r="A26">
        <v>5.42</v>
      </c>
      <c r="B26">
        <v>5.53</v>
      </c>
      <c r="C26">
        <v>5.62</v>
      </c>
      <c r="D26">
        <v>5.78</v>
      </c>
      <c r="E26">
        <v>5.66</v>
      </c>
      <c r="F26">
        <v>5.34</v>
      </c>
      <c r="G26">
        <v>6.55</v>
      </c>
      <c r="H26">
        <v>6.44</v>
      </c>
      <c r="I26">
        <v>3.58</v>
      </c>
      <c r="J26" t="s">
        <v>41</v>
      </c>
      <c r="K26" s="78">
        <v>46129</v>
      </c>
    </row>
    <row r="27" spans="1:11" x14ac:dyDescent="0.3">
      <c r="A27">
        <v>5.68</v>
      </c>
      <c r="B27">
        <v>6.55</v>
      </c>
      <c r="C27">
        <v>6.67</v>
      </c>
      <c r="D27">
        <v>6.8</v>
      </c>
      <c r="E27">
        <v>6.78</v>
      </c>
      <c r="F27">
        <v>6.43</v>
      </c>
      <c r="G27">
        <v>7.33</v>
      </c>
      <c r="H27">
        <v>7.35</v>
      </c>
      <c r="I27">
        <v>5.52</v>
      </c>
      <c r="J27" t="s">
        <v>41</v>
      </c>
      <c r="K27" s="78">
        <v>46130</v>
      </c>
    </row>
    <row r="28" spans="1:11" x14ac:dyDescent="0.3">
      <c r="A28">
        <v>5.29</v>
      </c>
      <c r="B28">
        <v>6.95</v>
      </c>
      <c r="C28">
        <v>7.12</v>
      </c>
      <c r="D28">
        <v>7.27</v>
      </c>
      <c r="E28">
        <v>7.36</v>
      </c>
      <c r="F28">
        <v>6.73</v>
      </c>
      <c r="G28">
        <v>7.76</v>
      </c>
      <c r="H28">
        <v>7.68</v>
      </c>
      <c r="I28">
        <v>6.91</v>
      </c>
      <c r="J28" t="s">
        <v>41</v>
      </c>
      <c r="K28" s="78">
        <v>46131</v>
      </c>
    </row>
    <row r="29" spans="1:11" x14ac:dyDescent="0.3">
      <c r="A29">
        <v>3.08</v>
      </c>
      <c r="B29">
        <v>6.24</v>
      </c>
      <c r="C29">
        <v>6.36</v>
      </c>
      <c r="D29">
        <v>6.35</v>
      </c>
      <c r="E29">
        <v>6.26</v>
      </c>
      <c r="F29">
        <v>5.5</v>
      </c>
      <c r="G29">
        <v>6.18</v>
      </c>
      <c r="H29">
        <v>6.09</v>
      </c>
      <c r="I29">
        <v>5.25</v>
      </c>
      <c r="J29" t="s">
        <v>41</v>
      </c>
      <c r="K29" s="78">
        <v>46132</v>
      </c>
    </row>
    <row r="30" spans="1:11" x14ac:dyDescent="0.3">
      <c r="A30">
        <v>5.82</v>
      </c>
      <c r="B30">
        <v>6.73</v>
      </c>
      <c r="C30">
        <v>6.93</v>
      </c>
      <c r="D30">
        <v>7.07</v>
      </c>
      <c r="E30">
        <v>7.06</v>
      </c>
      <c r="F30">
        <v>6.34</v>
      </c>
      <c r="G30">
        <v>7.28</v>
      </c>
      <c r="H30">
        <v>7.27</v>
      </c>
      <c r="I30">
        <v>6.23</v>
      </c>
      <c r="J30" t="s">
        <v>41</v>
      </c>
      <c r="K30" s="78">
        <v>46133</v>
      </c>
    </row>
    <row r="31" spans="1:11" x14ac:dyDescent="0.3">
      <c r="A31">
        <v>4.3499999999999996</v>
      </c>
      <c r="B31">
        <v>6.97</v>
      </c>
      <c r="C31">
        <v>7.08</v>
      </c>
      <c r="D31">
        <v>7.21</v>
      </c>
      <c r="E31">
        <v>7.22</v>
      </c>
      <c r="F31">
        <v>6.13</v>
      </c>
      <c r="G31">
        <v>7.1</v>
      </c>
      <c r="H31">
        <v>7.07</v>
      </c>
      <c r="I31">
        <v>5.53</v>
      </c>
      <c r="J31" t="s">
        <v>41</v>
      </c>
      <c r="K31" s="78">
        <v>46134</v>
      </c>
    </row>
    <row r="32" spans="1:11" x14ac:dyDescent="0.3">
      <c r="A32">
        <v>5.92</v>
      </c>
      <c r="B32">
        <v>6</v>
      </c>
      <c r="C32">
        <v>6</v>
      </c>
      <c r="D32">
        <v>6.36</v>
      </c>
      <c r="E32">
        <v>6.45</v>
      </c>
      <c r="F32">
        <v>5.78</v>
      </c>
      <c r="G32">
        <v>6.58</v>
      </c>
      <c r="H32">
        <v>6.6</v>
      </c>
      <c r="I32">
        <v>5.24</v>
      </c>
      <c r="J32" t="s">
        <v>41</v>
      </c>
      <c r="K32" s="78">
        <v>46135</v>
      </c>
    </row>
    <row r="33" spans="1:11" x14ac:dyDescent="0.3">
      <c r="A33">
        <v>6.45</v>
      </c>
      <c r="B33">
        <v>6.01</v>
      </c>
      <c r="C33">
        <v>6.56</v>
      </c>
      <c r="D33">
        <v>6.5</v>
      </c>
      <c r="E33">
        <v>6.66</v>
      </c>
      <c r="F33">
        <v>6.43</v>
      </c>
      <c r="G33">
        <v>7.33</v>
      </c>
      <c r="H33">
        <v>7.38</v>
      </c>
      <c r="I33">
        <v>6.08</v>
      </c>
      <c r="J33" t="s">
        <v>41</v>
      </c>
      <c r="K33" s="78">
        <v>46136</v>
      </c>
    </row>
    <row r="34" spans="1:11" x14ac:dyDescent="0.3">
      <c r="A34">
        <v>2.29</v>
      </c>
      <c r="B34">
        <v>6.11</v>
      </c>
      <c r="C34">
        <v>6.21</v>
      </c>
      <c r="D34">
        <v>6.37</v>
      </c>
      <c r="E34">
        <v>6.45</v>
      </c>
      <c r="F34">
        <v>5.88</v>
      </c>
      <c r="G34">
        <v>6.8</v>
      </c>
      <c r="H34">
        <v>6.82</v>
      </c>
      <c r="I34">
        <v>5.85</v>
      </c>
      <c r="J34" t="s">
        <v>41</v>
      </c>
      <c r="K34" s="78">
        <v>46137</v>
      </c>
    </row>
    <row r="35" spans="1:11" x14ac:dyDescent="0.3">
      <c r="A35">
        <v>4.9800000000000004</v>
      </c>
      <c r="B35">
        <v>6.98</v>
      </c>
      <c r="C35">
        <v>7.26</v>
      </c>
      <c r="D35">
        <v>7.27</v>
      </c>
      <c r="E35">
        <v>7.31</v>
      </c>
      <c r="F35">
        <v>6.82</v>
      </c>
      <c r="G35">
        <v>7.82</v>
      </c>
      <c r="H35">
        <v>7.8</v>
      </c>
      <c r="I35">
        <v>5.57</v>
      </c>
      <c r="J35" t="s">
        <v>41</v>
      </c>
      <c r="K35" s="78">
        <v>46138</v>
      </c>
    </row>
    <row r="36" spans="1:11" x14ac:dyDescent="0.3">
      <c r="A36">
        <v>6.96</v>
      </c>
      <c r="B36">
        <v>7.02</v>
      </c>
      <c r="C36">
        <v>7.09</v>
      </c>
      <c r="D36">
        <v>7.41</v>
      </c>
      <c r="E36">
        <v>7.52</v>
      </c>
      <c r="F36">
        <v>6.32</v>
      </c>
      <c r="G36">
        <v>7.39</v>
      </c>
      <c r="H36">
        <v>7.38</v>
      </c>
      <c r="I36">
        <v>6.48</v>
      </c>
      <c r="J36" t="s">
        <v>41</v>
      </c>
      <c r="K36" s="78">
        <v>46139</v>
      </c>
    </row>
    <row r="37" spans="1:11" x14ac:dyDescent="0.3">
      <c r="A37">
        <v>4.28</v>
      </c>
      <c r="B37">
        <v>6.87</v>
      </c>
      <c r="C37">
        <v>6.94</v>
      </c>
      <c r="D37">
        <v>6.96</v>
      </c>
      <c r="E37">
        <v>6.87</v>
      </c>
      <c r="F37">
        <v>6.3</v>
      </c>
      <c r="G37">
        <v>7.21</v>
      </c>
      <c r="H37">
        <v>7.2</v>
      </c>
      <c r="I37">
        <v>3.66</v>
      </c>
      <c r="J37" t="s">
        <v>41</v>
      </c>
      <c r="K37" s="78">
        <v>46140</v>
      </c>
    </row>
    <row r="38" spans="1:11" x14ac:dyDescent="0.3">
      <c r="A38">
        <v>3.65</v>
      </c>
      <c r="B38">
        <v>5.92</v>
      </c>
      <c r="C38">
        <v>5.91</v>
      </c>
      <c r="D38">
        <v>6.19</v>
      </c>
      <c r="E38">
        <v>6.05</v>
      </c>
      <c r="F38">
        <v>5.42</v>
      </c>
      <c r="G38">
        <v>6.23</v>
      </c>
      <c r="H38">
        <v>6.16</v>
      </c>
      <c r="I38">
        <v>4.5199999999999996</v>
      </c>
      <c r="J38" t="s">
        <v>41</v>
      </c>
      <c r="K38" s="78">
        <v>46141</v>
      </c>
    </row>
    <row r="39" spans="1:11" x14ac:dyDescent="0.3">
      <c r="A39">
        <v>5.31</v>
      </c>
      <c r="B39">
        <v>7</v>
      </c>
      <c r="C39">
        <v>7.24</v>
      </c>
      <c r="D39">
        <v>7.29</v>
      </c>
      <c r="E39">
        <v>7.27</v>
      </c>
      <c r="F39">
        <v>6.49</v>
      </c>
      <c r="G39">
        <v>7.36</v>
      </c>
      <c r="H39">
        <v>7.3</v>
      </c>
      <c r="I39">
        <v>7.3</v>
      </c>
      <c r="J39" t="s">
        <v>41</v>
      </c>
      <c r="K39" s="78">
        <v>46142</v>
      </c>
    </row>
    <row r="40" spans="1:11" x14ac:dyDescent="0.3">
      <c r="A40">
        <v>2.12</v>
      </c>
      <c r="B40">
        <v>5.5</v>
      </c>
      <c r="C40">
        <v>5.65</v>
      </c>
      <c r="D40">
        <v>5.87</v>
      </c>
      <c r="E40">
        <v>6.14</v>
      </c>
      <c r="F40">
        <v>5.27</v>
      </c>
      <c r="G40">
        <v>6.2</v>
      </c>
      <c r="H40">
        <v>6.13</v>
      </c>
      <c r="I40">
        <v>6.13</v>
      </c>
      <c r="J40" t="s">
        <v>41</v>
      </c>
      <c r="K40" s="78">
        <v>46143</v>
      </c>
    </row>
    <row r="41" spans="1:11" x14ac:dyDescent="0.3">
      <c r="A41">
        <v>4.1500000000000004</v>
      </c>
      <c r="B41">
        <v>5.52</v>
      </c>
      <c r="C41">
        <v>5.58</v>
      </c>
      <c r="D41">
        <v>6.06</v>
      </c>
      <c r="E41">
        <v>6.4</v>
      </c>
      <c r="F41">
        <v>5.28</v>
      </c>
      <c r="G41">
        <v>6.15</v>
      </c>
      <c r="H41">
        <v>6.38</v>
      </c>
      <c r="I41">
        <v>6.38</v>
      </c>
      <c r="J41" t="s">
        <v>41</v>
      </c>
      <c r="K41" s="78">
        <v>46144</v>
      </c>
    </row>
    <row r="42" spans="1:11" x14ac:dyDescent="0.3">
      <c r="A42">
        <v>2.88</v>
      </c>
      <c r="B42">
        <v>5.75</v>
      </c>
      <c r="C42">
        <v>5.88</v>
      </c>
      <c r="D42">
        <v>5.91</v>
      </c>
      <c r="E42">
        <v>5.92</v>
      </c>
      <c r="F42">
        <v>5</v>
      </c>
      <c r="G42">
        <v>5.73</v>
      </c>
      <c r="H42">
        <v>5.65</v>
      </c>
      <c r="I42">
        <v>5.65</v>
      </c>
      <c r="J42" t="s">
        <v>41</v>
      </c>
      <c r="K42" s="78">
        <v>46145</v>
      </c>
    </row>
    <row r="43" spans="1:11" x14ac:dyDescent="0.3">
      <c r="A43">
        <v>1.07</v>
      </c>
      <c r="B43">
        <v>2.85</v>
      </c>
      <c r="C43">
        <v>2.95</v>
      </c>
      <c r="D43">
        <v>2.97</v>
      </c>
      <c r="E43">
        <v>3</v>
      </c>
      <c r="F43">
        <v>2.78</v>
      </c>
      <c r="G43">
        <v>3.2</v>
      </c>
      <c r="H43">
        <v>3.18</v>
      </c>
      <c r="I43">
        <v>3.58</v>
      </c>
      <c r="J43" t="s">
        <v>41</v>
      </c>
      <c r="K43" s="78">
        <v>46146</v>
      </c>
    </row>
    <row r="44" spans="1:11" x14ac:dyDescent="0.3">
      <c r="A44">
        <v>5.97</v>
      </c>
      <c r="B44">
        <v>6.79</v>
      </c>
      <c r="C44">
        <v>6.93</v>
      </c>
      <c r="D44">
        <v>7.11</v>
      </c>
      <c r="E44">
        <v>7.19</v>
      </c>
      <c r="F44">
        <v>6.11</v>
      </c>
      <c r="G44">
        <v>7.02</v>
      </c>
      <c r="H44">
        <v>6.95</v>
      </c>
      <c r="I44">
        <v>5.04</v>
      </c>
      <c r="J44" t="s">
        <v>41</v>
      </c>
      <c r="K44" s="78">
        <v>46147</v>
      </c>
    </row>
    <row r="45" spans="1:11" x14ac:dyDescent="0.3">
      <c r="A45">
        <v>5.6959</v>
      </c>
      <c r="B45">
        <v>5.1779999999999999</v>
      </c>
      <c r="C45">
        <v>5.2649000000000008</v>
      </c>
      <c r="D45">
        <v>5.3843000000000005</v>
      </c>
      <c r="E45">
        <v>5.3422000000000001</v>
      </c>
      <c r="F45">
        <v>5.7187000000000001</v>
      </c>
      <c r="G45">
        <v>5.3609999999999998</v>
      </c>
      <c r="H45">
        <v>5.4037999999999995</v>
      </c>
      <c r="I45">
        <v>4.3928000000000003</v>
      </c>
      <c r="J45" t="s">
        <v>41</v>
      </c>
      <c r="K45" s="78">
        <v>46148</v>
      </c>
    </row>
    <row r="46" spans="1:11" x14ac:dyDescent="0.3">
      <c r="A46">
        <v>4.9866000000000001</v>
      </c>
      <c r="B46">
        <v>4.1478999999999999</v>
      </c>
      <c r="C46">
        <v>4.2741999999999996</v>
      </c>
      <c r="D46">
        <v>4.2226000000000008</v>
      </c>
      <c r="E46">
        <v>4.1932000000000009</v>
      </c>
      <c r="F46">
        <v>4.8104639999999996</v>
      </c>
      <c r="G46">
        <v>4.8336999999999994</v>
      </c>
      <c r="H46">
        <v>4.9046000000000003</v>
      </c>
      <c r="I46">
        <v>5.5456000000000003</v>
      </c>
      <c r="J46" t="s">
        <v>41</v>
      </c>
      <c r="K46" s="78">
        <v>46149</v>
      </c>
    </row>
    <row r="47" spans="1:11" x14ac:dyDescent="0.3">
      <c r="A47">
        <v>4.5198</v>
      </c>
      <c r="B47">
        <v>4.6100000000000003</v>
      </c>
      <c r="C47">
        <v>4.5599999999999996</v>
      </c>
      <c r="D47">
        <v>4.8099999999999996</v>
      </c>
      <c r="E47">
        <v>4.83</v>
      </c>
      <c r="F47">
        <v>5.2145279999999996</v>
      </c>
      <c r="G47">
        <v>5.29</v>
      </c>
      <c r="H47">
        <v>5.32</v>
      </c>
      <c r="I47">
        <v>5.19</v>
      </c>
      <c r="J47" t="s">
        <v>41</v>
      </c>
      <c r="K47" s="78">
        <v>46150</v>
      </c>
    </row>
    <row r="48" spans="1:11" x14ac:dyDescent="0.3">
      <c r="A48">
        <v>4.5688300000000002</v>
      </c>
      <c r="B48">
        <v>4.59</v>
      </c>
      <c r="C48">
        <v>4.78</v>
      </c>
      <c r="D48">
        <v>4.6900000000000004</v>
      </c>
      <c r="E48">
        <v>4.6100000000000003</v>
      </c>
      <c r="F48">
        <v>5.7329280000000002</v>
      </c>
      <c r="G48">
        <v>5.79</v>
      </c>
      <c r="H48">
        <v>5.85</v>
      </c>
      <c r="I48">
        <v>5.34</v>
      </c>
      <c r="J48" t="s">
        <v>41</v>
      </c>
      <c r="K48" s="78">
        <v>46151</v>
      </c>
    </row>
    <row r="49" spans="1:11" x14ac:dyDescent="0.3">
      <c r="A49">
        <v>6.6523699999999995</v>
      </c>
      <c r="B49">
        <v>6.7656000000000001</v>
      </c>
      <c r="C49">
        <v>6.8411</v>
      </c>
      <c r="D49">
        <v>7.085</v>
      </c>
      <c r="E49">
        <v>7.0872000000000002</v>
      </c>
      <c r="F49">
        <v>7.0084999999999988</v>
      </c>
      <c r="G49">
        <v>7.2101999999999995</v>
      </c>
      <c r="H49">
        <v>7.2557999999999998</v>
      </c>
      <c r="I49">
        <v>6.0285999999999991</v>
      </c>
      <c r="J49" t="s">
        <v>41</v>
      </c>
      <c r="K49" s="78">
        <v>46152</v>
      </c>
    </row>
    <row r="50" spans="1:11" x14ac:dyDescent="0.3">
      <c r="A50">
        <v>6.7709520000000003</v>
      </c>
      <c r="B50">
        <v>6.8405999999999993</v>
      </c>
      <c r="C50">
        <v>7.0267999999999997</v>
      </c>
      <c r="D50">
        <v>7.0884999999999998</v>
      </c>
      <c r="E50">
        <v>7.0086000000000004</v>
      </c>
      <c r="F50">
        <v>7.0102999999999991</v>
      </c>
      <c r="G50">
        <v>7.0776999999999992</v>
      </c>
      <c r="H50">
        <v>7.1110999999999995</v>
      </c>
      <c r="I50">
        <v>5.6889999999999992</v>
      </c>
      <c r="J50" t="s">
        <v>41</v>
      </c>
      <c r="K50" s="78">
        <v>46153</v>
      </c>
    </row>
    <row r="51" spans="1:11" x14ac:dyDescent="0.3">
      <c r="A51">
        <v>2.5494479999999999</v>
      </c>
      <c r="B51">
        <v>2.6042999999999998</v>
      </c>
      <c r="C51">
        <v>2.665</v>
      </c>
      <c r="D51">
        <v>2.7998000000000003</v>
      </c>
      <c r="E51">
        <v>2.8864000000000001</v>
      </c>
      <c r="F51">
        <v>2.4246720000000002</v>
      </c>
      <c r="G51">
        <v>2.5010999999999997</v>
      </c>
      <c r="H51">
        <v>2.4983999999999997</v>
      </c>
      <c r="I51">
        <v>2.6678999999999999</v>
      </c>
      <c r="J51" t="s">
        <v>41</v>
      </c>
      <c r="K51" s="78">
        <v>46154</v>
      </c>
    </row>
    <row r="52" spans="1:11" x14ac:dyDescent="0.3">
      <c r="A52">
        <v>4.1839199999999996</v>
      </c>
      <c r="B52">
        <v>4.1552999999999995</v>
      </c>
      <c r="C52">
        <v>4.2975000000000003</v>
      </c>
      <c r="D52">
        <v>4.3536999999999999</v>
      </c>
      <c r="E52">
        <v>4.3867999999999991</v>
      </c>
      <c r="F52">
        <v>4.1201279999999993</v>
      </c>
      <c r="G52">
        <v>4.2290000000000001</v>
      </c>
      <c r="H52">
        <v>4.2018999999999993</v>
      </c>
      <c r="I52">
        <v>5.0997999999999992</v>
      </c>
      <c r="J52" t="s">
        <v>41</v>
      </c>
      <c r="K52" s="78">
        <v>46155</v>
      </c>
    </row>
    <row r="53" spans="1:11" x14ac:dyDescent="0.3">
      <c r="A53">
        <v>4.8674000000000008</v>
      </c>
      <c r="B53">
        <v>4.7442000000000002</v>
      </c>
      <c r="C53">
        <v>4.9408000000000003</v>
      </c>
      <c r="D53">
        <v>4.9737999999999989</v>
      </c>
      <c r="E53">
        <v>5.1984000000000004</v>
      </c>
      <c r="F53">
        <v>5.5381999999999998</v>
      </c>
      <c r="G53">
        <v>5.6331999999999995</v>
      </c>
      <c r="H53">
        <v>5.5390000000000006</v>
      </c>
      <c r="I53">
        <v>5.0997999999999992</v>
      </c>
      <c r="J53" t="s">
        <v>41</v>
      </c>
      <c r="K53" s="78">
        <v>46156</v>
      </c>
    </row>
    <row r="54" spans="1:11" x14ac:dyDescent="0.3">
      <c r="A54">
        <v>5.0546160000000002</v>
      </c>
      <c r="B54">
        <v>5.21</v>
      </c>
      <c r="C54">
        <v>5.21</v>
      </c>
      <c r="D54">
        <v>5.72</v>
      </c>
      <c r="E54">
        <v>5.87</v>
      </c>
      <c r="F54">
        <v>5.7216959999999997</v>
      </c>
      <c r="G54">
        <v>5.86</v>
      </c>
      <c r="H54">
        <v>5.83</v>
      </c>
      <c r="I54">
        <v>0</v>
      </c>
      <c r="J54" t="s">
        <v>41</v>
      </c>
      <c r="K54" s="78">
        <v>46157</v>
      </c>
    </row>
    <row r="55" spans="1:11" x14ac:dyDescent="0.3">
      <c r="A55">
        <v>5.0079599999999997</v>
      </c>
      <c r="B55">
        <v>5.13</v>
      </c>
      <c r="C55">
        <v>5.17</v>
      </c>
      <c r="D55">
        <v>5.52</v>
      </c>
      <c r="E55">
        <v>5.6</v>
      </c>
      <c r="F55">
        <v>5.4578879999999996</v>
      </c>
      <c r="G55">
        <v>5.46</v>
      </c>
      <c r="H55">
        <v>5.57</v>
      </c>
      <c r="I55">
        <v>4.2</v>
      </c>
      <c r="J55" t="s">
        <v>41</v>
      </c>
      <c r="K55" s="78">
        <v>46158</v>
      </c>
    </row>
    <row r="56" spans="1:11" x14ac:dyDescent="0.3">
      <c r="A56">
        <v>4.0383360000000001</v>
      </c>
      <c r="B56">
        <v>4.05</v>
      </c>
      <c r="C56">
        <v>4.1900000000000004</v>
      </c>
      <c r="D56">
        <v>4.24</v>
      </c>
      <c r="E56">
        <v>4.29</v>
      </c>
      <c r="F56">
        <v>4.574592</v>
      </c>
      <c r="G56">
        <v>4.55</v>
      </c>
      <c r="H56">
        <v>4.67</v>
      </c>
      <c r="I56">
        <v>4.46</v>
      </c>
      <c r="J56" t="s">
        <v>41</v>
      </c>
      <c r="K56" s="78">
        <v>46159</v>
      </c>
    </row>
    <row r="57" spans="1:11" x14ac:dyDescent="0.3">
      <c r="A57">
        <v>6.177816</v>
      </c>
      <c r="B57">
        <v>6.33</v>
      </c>
      <c r="C57">
        <v>6.39</v>
      </c>
      <c r="D57">
        <v>6.68</v>
      </c>
      <c r="E57">
        <v>6.74</v>
      </c>
      <c r="F57">
        <v>6.8198399999999992</v>
      </c>
      <c r="G57">
        <v>6.97</v>
      </c>
      <c r="H57">
        <v>6.96</v>
      </c>
      <c r="I57">
        <v>4.9114999999999993</v>
      </c>
      <c r="J57" t="s">
        <v>41</v>
      </c>
      <c r="K57" s="78">
        <v>46160</v>
      </c>
    </row>
    <row r="58" spans="1:11" x14ac:dyDescent="0.3">
      <c r="A58">
        <v>4.7269439999999996</v>
      </c>
      <c r="B58">
        <v>4.7474999999999996</v>
      </c>
      <c r="C58">
        <v>4.9539</v>
      </c>
      <c r="D58">
        <v>4.8993000000000002</v>
      </c>
      <c r="E58">
        <v>4.8775000000000004</v>
      </c>
      <c r="F58" s="82">
        <v>4.8303359999999991</v>
      </c>
      <c r="G58">
        <v>4.9957000000000003</v>
      </c>
      <c r="H58">
        <v>4.9219999999999997</v>
      </c>
      <c r="I58">
        <v>4.82</v>
      </c>
      <c r="J58" t="s">
        <v>41</v>
      </c>
      <c r="K58" s="78">
        <v>46161</v>
      </c>
    </row>
    <row r="59" spans="1:11" x14ac:dyDescent="0.3">
      <c r="A59">
        <v>2.7669600000000001</v>
      </c>
      <c r="B59">
        <v>2.8022</v>
      </c>
      <c r="C59">
        <v>2.8544</v>
      </c>
      <c r="D59">
        <v>2.9171</v>
      </c>
      <c r="E59">
        <v>2.9631000000000003</v>
      </c>
      <c r="F59">
        <v>3.5818559999999997</v>
      </c>
      <c r="G59">
        <v>3.7261999999999995</v>
      </c>
      <c r="H59">
        <v>3.6489000000000003</v>
      </c>
      <c r="I59">
        <v>4.2423999999999999</v>
      </c>
      <c r="J59" t="s">
        <v>41</v>
      </c>
      <c r="K59" s="78">
        <v>46162</v>
      </c>
    </row>
    <row r="60" spans="1:11" x14ac:dyDescent="0.3">
      <c r="A60">
        <v>4.3355519999999999</v>
      </c>
      <c r="B60">
        <v>4.4438000000000004</v>
      </c>
      <c r="C60">
        <v>4.5147999999999993</v>
      </c>
      <c r="D60">
        <v>4.4798</v>
      </c>
      <c r="E60">
        <v>4.2638999999999996</v>
      </c>
      <c r="F60">
        <v>4.5797759999999998</v>
      </c>
      <c r="G60">
        <v>4.7655000000000003</v>
      </c>
      <c r="H60">
        <v>4.6771000000000003</v>
      </c>
      <c r="I60">
        <v>3.6361999999999997</v>
      </c>
      <c r="J60" t="s">
        <v>41</v>
      </c>
      <c r="K60" s="78">
        <v>46163</v>
      </c>
    </row>
    <row r="61" spans="1:11" x14ac:dyDescent="0.3">
      <c r="A61">
        <v>4.9520159999999995</v>
      </c>
      <c r="B61">
        <v>4.8958560000000002</v>
      </c>
      <c r="C61">
        <v>5.0414399999999997</v>
      </c>
      <c r="D61">
        <v>5.1287039999999999</v>
      </c>
      <c r="E61">
        <v>5.2001279999999994</v>
      </c>
      <c r="F61">
        <v>4.9320000000000004</v>
      </c>
      <c r="G61">
        <v>4.9060800000000002</v>
      </c>
      <c r="H61">
        <v>5.0199999999999996</v>
      </c>
      <c r="I61">
        <v>3.02</v>
      </c>
      <c r="J61" t="s">
        <v>41</v>
      </c>
      <c r="K61" s="78">
        <v>46164</v>
      </c>
    </row>
    <row r="62" spans="1:11" x14ac:dyDescent="0.3">
      <c r="A62">
        <v>1.7634239999999999</v>
      </c>
      <c r="B62">
        <v>1.7534880000000002</v>
      </c>
      <c r="C62">
        <v>1.813968</v>
      </c>
      <c r="D62">
        <v>1.8564479999999999</v>
      </c>
      <c r="E62">
        <v>1.8714239999999998</v>
      </c>
      <c r="F62">
        <v>1.6415999999999999</v>
      </c>
      <c r="G62">
        <v>1.6168319999999998</v>
      </c>
      <c r="H62">
        <v>1.67</v>
      </c>
      <c r="I62">
        <v>2.64</v>
      </c>
      <c r="J62" t="s">
        <v>41</v>
      </c>
      <c r="K62" s="78">
        <v>46165</v>
      </c>
    </row>
    <row r="63" spans="1:11" x14ac:dyDescent="0.3">
      <c r="A63">
        <v>3.487536</v>
      </c>
      <c r="B63">
        <v>3.3745679999999996</v>
      </c>
      <c r="C63">
        <v>3.4998480000000001</v>
      </c>
      <c r="D63">
        <v>3.4663680000000001</v>
      </c>
      <c r="E63">
        <v>3.5118719999999999</v>
      </c>
      <c r="F63">
        <v>3.8914559999999998</v>
      </c>
      <c r="G63">
        <v>3.8600639999999999</v>
      </c>
      <c r="H63">
        <v>3.9672999999999998</v>
      </c>
      <c r="I63">
        <v>3.5803999999999996</v>
      </c>
      <c r="J63" t="s">
        <v>41</v>
      </c>
      <c r="K63" s="78">
        <v>46166</v>
      </c>
    </row>
    <row r="64" spans="1:11" x14ac:dyDescent="0.3">
      <c r="A64" s="83">
        <v>5.5060559999999992</v>
      </c>
      <c r="B64">
        <v>5.5030320000000001</v>
      </c>
      <c r="C64">
        <v>5.5479599999999998</v>
      </c>
      <c r="D64">
        <v>5.787647999999999</v>
      </c>
      <c r="E64">
        <v>5.9080319999999995</v>
      </c>
      <c r="F64" s="83">
        <v>5.905727999999999</v>
      </c>
      <c r="G64">
        <v>5.9008319999999994</v>
      </c>
      <c r="H64">
        <v>6.0329000000000006</v>
      </c>
      <c r="I64">
        <v>4.7373000000000003</v>
      </c>
      <c r="J64" t="s">
        <v>41</v>
      </c>
      <c r="K64" s="78">
        <v>46167</v>
      </c>
    </row>
    <row r="65" spans="1:13" x14ac:dyDescent="0.3">
      <c r="A65">
        <v>4.7856959999999997</v>
      </c>
      <c r="B65">
        <v>4.7703599999999993</v>
      </c>
      <c r="C65">
        <v>4.8297600000000003</v>
      </c>
      <c r="D65">
        <v>5.0549759999999999</v>
      </c>
      <c r="E65">
        <v>5.1661439999999992</v>
      </c>
      <c r="F65">
        <v>4.9008959999999995</v>
      </c>
      <c r="G65">
        <v>4.8781439999999989</v>
      </c>
      <c r="H65">
        <v>5.1969599999999998</v>
      </c>
      <c r="I65">
        <v>5.1424000000000003</v>
      </c>
      <c r="J65" t="s">
        <v>41</v>
      </c>
      <c r="K65" s="78">
        <v>46168</v>
      </c>
    </row>
    <row r="66" spans="1:13" x14ac:dyDescent="0.3">
      <c r="A66">
        <v>5.1474960000000003</v>
      </c>
      <c r="B66">
        <v>5.0792399999999995</v>
      </c>
      <c r="C66">
        <v>5.1833520000000002</v>
      </c>
      <c r="D66">
        <v>5.3614079999999991</v>
      </c>
      <c r="E66">
        <v>5.4771839999999994</v>
      </c>
      <c r="F66">
        <v>5.5615679999999994</v>
      </c>
      <c r="G66">
        <v>5.4930239999999992</v>
      </c>
      <c r="H66">
        <v>5.5552320000000002</v>
      </c>
      <c r="I66">
        <v>3.2410999999999999</v>
      </c>
      <c r="J66" t="s">
        <v>41</v>
      </c>
      <c r="K66" s="78">
        <v>46169</v>
      </c>
    </row>
    <row r="67" spans="1:13" x14ac:dyDescent="0.3">
      <c r="A67">
        <v>3.375</v>
      </c>
      <c r="B67">
        <v>3.3220800000000001</v>
      </c>
      <c r="C67">
        <v>3.3994079999999998</v>
      </c>
      <c r="D67">
        <v>3.5153279999999993</v>
      </c>
      <c r="E67">
        <v>3.620736</v>
      </c>
      <c r="F67">
        <v>3.4608959999999995</v>
      </c>
      <c r="G67">
        <v>3.4499519999999997</v>
      </c>
      <c r="H67">
        <v>3.4473599999999998</v>
      </c>
      <c r="I67">
        <v>5.08</v>
      </c>
      <c r="J67" t="s">
        <v>41</v>
      </c>
      <c r="K67" s="78">
        <v>46170</v>
      </c>
    </row>
    <row r="68" spans="1:13" x14ac:dyDescent="0.3">
      <c r="A68">
        <v>3.917376</v>
      </c>
      <c r="B68">
        <v>3.8940479999999997</v>
      </c>
      <c r="C68">
        <v>3.9666239999999999</v>
      </c>
      <c r="D68">
        <v>4.1777280000000001</v>
      </c>
      <c r="E68">
        <v>4.2295679999999996</v>
      </c>
      <c r="F68">
        <v>4.1209919999999993</v>
      </c>
      <c r="G68">
        <v>3.9787199999999996</v>
      </c>
      <c r="H68">
        <v>4.087872</v>
      </c>
      <c r="I68">
        <v>0</v>
      </c>
      <c r="J68" t="s">
        <v>41</v>
      </c>
      <c r="K68" s="78">
        <v>46171</v>
      </c>
    </row>
    <row r="69" spans="1:13" x14ac:dyDescent="0.3">
      <c r="A69">
        <v>3.9977279999999999</v>
      </c>
      <c r="B69">
        <v>3.9515039999999999</v>
      </c>
      <c r="C69">
        <v>4.0778639999999999</v>
      </c>
      <c r="D69">
        <v>4.1529600000000002</v>
      </c>
      <c r="E69">
        <v>4.1915519999999997</v>
      </c>
      <c r="F69">
        <v>4.4550720000000004</v>
      </c>
      <c r="G69">
        <v>4.4648639999999995</v>
      </c>
      <c r="H69">
        <v>4.4550720000000004</v>
      </c>
      <c r="I69">
        <v>3.99</v>
      </c>
      <c r="J69" t="s">
        <v>41</v>
      </c>
      <c r="K69" s="78">
        <v>46172</v>
      </c>
    </row>
    <row r="70" spans="1:13" x14ac:dyDescent="0.3">
      <c r="A70">
        <v>6.0933599999999997</v>
      </c>
      <c r="B70">
        <v>5.9959439999999997</v>
      </c>
      <c r="C70">
        <v>6.1629120000000004</v>
      </c>
      <c r="D70">
        <v>6.4028159999999996</v>
      </c>
      <c r="E70">
        <v>6.4846079999999997</v>
      </c>
      <c r="F70">
        <v>6.5122559999999998</v>
      </c>
      <c r="G70">
        <v>6.3443519999999998</v>
      </c>
      <c r="H70">
        <v>6.4990079999999999</v>
      </c>
      <c r="I70">
        <v>5.5076999999999998</v>
      </c>
      <c r="J70" t="s">
        <v>41</v>
      </c>
      <c r="K70" s="78">
        <v>46173</v>
      </c>
    </row>
    <row r="71" spans="1:13" x14ac:dyDescent="0.3">
      <c r="A71">
        <v>6.1266239999999996</v>
      </c>
      <c r="B71">
        <v>6.0270479999999997</v>
      </c>
      <c r="C71">
        <v>6.2046000000000001</v>
      </c>
      <c r="D71">
        <v>6.3423359999999995</v>
      </c>
      <c r="E71">
        <v>6.4869119999999993</v>
      </c>
      <c r="F71">
        <v>6.6173759999999993</v>
      </c>
      <c r="G71">
        <v>6.5620799999999999</v>
      </c>
      <c r="H71">
        <v>6.5888639999999992</v>
      </c>
      <c r="I71">
        <v>4.6443000000000003</v>
      </c>
      <c r="J71" t="s">
        <v>41</v>
      </c>
      <c r="K71" s="78">
        <v>46174</v>
      </c>
      <c r="M71" s="25"/>
    </row>
    <row r="72" spans="1:13" x14ac:dyDescent="0.3">
      <c r="A72">
        <v>5.1228720000000001</v>
      </c>
      <c r="B72">
        <v>5.1168239999999994</v>
      </c>
      <c r="C72">
        <v>5.2135919999999993</v>
      </c>
      <c r="D72">
        <v>5.4426239999999995</v>
      </c>
      <c r="E72">
        <v>5.5509119999999994</v>
      </c>
      <c r="F72">
        <v>6.210432</v>
      </c>
      <c r="G72">
        <v>6.1464959999999991</v>
      </c>
      <c r="H72">
        <v>6.1490879999999999</v>
      </c>
      <c r="I72">
        <v>1.85</v>
      </c>
      <c r="J72" t="s">
        <v>41</v>
      </c>
      <c r="K72" s="78">
        <v>46175</v>
      </c>
    </row>
    <row r="73" spans="1:13" x14ac:dyDescent="0.3">
      <c r="A73">
        <v>5.2453440000000002</v>
      </c>
      <c r="B73">
        <v>5.1680159999999997</v>
      </c>
      <c r="C73">
        <v>5.3386560000000003</v>
      </c>
      <c r="D73">
        <v>5.4092159999999998</v>
      </c>
      <c r="E73">
        <v>5.4305279999999989</v>
      </c>
      <c r="F73">
        <v>4.9593599999999993</v>
      </c>
      <c r="G73">
        <v>4.9688639999999999</v>
      </c>
      <c r="H73">
        <v>5.0126399999999993</v>
      </c>
      <c r="I73" s="99">
        <v>5.39</v>
      </c>
      <c r="J73" t="s">
        <v>41</v>
      </c>
      <c r="K73" s="78">
        <v>46176</v>
      </c>
    </row>
    <row r="74" spans="1:13" x14ac:dyDescent="0.3">
      <c r="A74">
        <v>3.9517199999999999</v>
      </c>
      <c r="B74">
        <v>3.8959919999999997</v>
      </c>
      <c r="C74">
        <v>4.04244</v>
      </c>
      <c r="D74">
        <v>4.053312</v>
      </c>
      <c r="E74">
        <v>4.0573439999999996</v>
      </c>
      <c r="F74">
        <v>3.9703679999999997</v>
      </c>
      <c r="G74">
        <v>4.0463999999999993</v>
      </c>
      <c r="H74">
        <v>3.9381119999999998</v>
      </c>
      <c r="I74">
        <v>3.3013680000000005</v>
      </c>
      <c r="J74" t="s">
        <v>41</v>
      </c>
      <c r="K74" s="78">
        <v>46177</v>
      </c>
    </row>
    <row r="75" spans="1:13" x14ac:dyDescent="0.3">
      <c r="A75">
        <v>3.7206000000000001</v>
      </c>
      <c r="B75">
        <v>3.6568800000000001</v>
      </c>
      <c r="C75">
        <v>3.8156399999999997</v>
      </c>
      <c r="D75">
        <v>3.7941119999999997</v>
      </c>
      <c r="E75">
        <v>3.8707199999999999</v>
      </c>
      <c r="F75">
        <v>3.8761919999999996</v>
      </c>
      <c r="G75">
        <v>3.9885119999999996</v>
      </c>
      <c r="H75">
        <v>3.8675519999999999</v>
      </c>
      <c r="I75">
        <v>4.7748960000000009</v>
      </c>
      <c r="J75" t="s">
        <v>41</v>
      </c>
      <c r="K75" s="78">
        <v>46178</v>
      </c>
    </row>
    <row r="76" spans="1:13" x14ac:dyDescent="0.3">
      <c r="A76">
        <v>4.5321119999999997</v>
      </c>
      <c r="B76">
        <v>4.4610479999999999</v>
      </c>
      <c r="C76">
        <v>4.5671040000000005</v>
      </c>
      <c r="D76">
        <v>4.7439359999999997</v>
      </c>
      <c r="E76">
        <v>4.781375999999999</v>
      </c>
      <c r="F76">
        <v>4.9213440000000004</v>
      </c>
      <c r="G76">
        <v>4.8864959999999993</v>
      </c>
      <c r="H76">
        <v>4.9204799999999995</v>
      </c>
      <c r="I76">
        <v>4.0081440000000006</v>
      </c>
      <c r="J76" t="s">
        <v>41</v>
      </c>
      <c r="K76" s="78">
        <v>46179</v>
      </c>
    </row>
    <row r="77" spans="1:13" s="97" customFormat="1" x14ac:dyDescent="0.3">
      <c r="A77" s="97">
        <v>5.6706479999999999</v>
      </c>
      <c r="B77" s="97">
        <v>5.700024</v>
      </c>
      <c r="C77" s="97">
        <v>5.7017519999999999</v>
      </c>
      <c r="D77" s="97">
        <v>5.9183999999999992</v>
      </c>
      <c r="E77" s="97">
        <v>5.8884479999999995</v>
      </c>
      <c r="F77" s="97">
        <v>5.9126399999999997</v>
      </c>
      <c r="G77" s="97">
        <v>5.8711679999999999</v>
      </c>
      <c r="H77" s="97">
        <v>5.8893120000000003</v>
      </c>
      <c r="I77" s="97">
        <v>5.3345039999999999</v>
      </c>
      <c r="J77" t="s">
        <v>41</v>
      </c>
      <c r="K77" s="98">
        <v>46180</v>
      </c>
    </row>
    <row r="78" spans="1:13" x14ac:dyDescent="0.3">
      <c r="A78">
        <v>5.9937839999999998</v>
      </c>
      <c r="B78">
        <v>5.9030640000000005</v>
      </c>
      <c r="C78">
        <v>6.1359120000000003</v>
      </c>
      <c r="D78">
        <v>6.3446399999999992</v>
      </c>
      <c r="E78">
        <v>6.5185919999999999</v>
      </c>
      <c r="F78">
        <v>6.9966719999999993</v>
      </c>
      <c r="G78">
        <v>6.9151679999999995</v>
      </c>
      <c r="H78">
        <v>6.9436799999999996</v>
      </c>
      <c r="I78">
        <v>4.2077280000000004</v>
      </c>
      <c r="J78" t="s">
        <v>41</v>
      </c>
      <c r="K78" s="98">
        <v>46181</v>
      </c>
    </row>
    <row r="79" spans="1:13" x14ac:dyDescent="0.3">
      <c r="A79">
        <v>4.8662640000000001</v>
      </c>
      <c r="B79">
        <v>4.7327759999999994</v>
      </c>
      <c r="C79">
        <v>4.904496</v>
      </c>
      <c r="D79">
        <v>4.8545279999999993</v>
      </c>
      <c r="E79">
        <v>4.8303359999999991</v>
      </c>
      <c r="F79">
        <v>5.8158719999999997</v>
      </c>
      <c r="G79">
        <v>5.7522239999999991</v>
      </c>
      <c r="H79">
        <v>5.6854079999999998</v>
      </c>
      <c r="I79">
        <v>1.4184239999999999</v>
      </c>
      <c r="J79" t="s">
        <v>41</v>
      </c>
      <c r="K79" s="98">
        <v>46182</v>
      </c>
    </row>
    <row r="80" spans="1:13" x14ac:dyDescent="0.3">
      <c r="A80">
        <v>5.9119200000000003</v>
      </c>
      <c r="B80">
        <v>5.7974399999999999</v>
      </c>
      <c r="C80">
        <v>5.9784480000000002</v>
      </c>
      <c r="D80">
        <v>6.1367039999999999</v>
      </c>
      <c r="E80">
        <v>6.2081279999999994</v>
      </c>
      <c r="F80">
        <v>6.6035519999999996</v>
      </c>
      <c r="G80">
        <v>6.5289599999999988</v>
      </c>
      <c r="H80">
        <v>6.584255999999999</v>
      </c>
      <c r="I80">
        <v>6.1943280000000005</v>
      </c>
      <c r="J80" t="s">
        <v>41</v>
      </c>
      <c r="K80" s="98">
        <v>46183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A360-651C-40D5-BBFD-EA3EAF8A1665}">
  <dimension ref="A1:J49"/>
  <sheetViews>
    <sheetView topLeftCell="A51" workbookViewId="0">
      <selection activeCell="A4" sqref="A4"/>
    </sheetView>
  </sheetViews>
  <sheetFormatPr defaultRowHeight="14.4" x14ac:dyDescent="0.3"/>
  <cols>
    <col min="1" max="1" width="9.77734375" customWidth="1"/>
    <col min="2" max="2" width="11.21875" customWidth="1"/>
    <col min="3" max="4" width="9.77734375" customWidth="1"/>
    <col min="5" max="5" width="11.21875" customWidth="1"/>
    <col min="6" max="6" width="9.77734375" customWidth="1"/>
    <col min="7" max="7" width="9.21875" customWidth="1"/>
    <col min="8" max="10" width="9.77734375" customWidth="1"/>
  </cols>
  <sheetData>
    <row r="1" spans="1:10" ht="15" thickBot="1" x14ac:dyDescent="0.35">
      <c r="A1" t="s">
        <v>41</v>
      </c>
      <c r="B1" s="46" t="s">
        <v>2</v>
      </c>
      <c r="C1" s="47" t="s">
        <v>42</v>
      </c>
      <c r="D1" s="48" t="s">
        <v>43</v>
      </c>
      <c r="E1" s="46" t="s">
        <v>3</v>
      </c>
      <c r="F1" s="48" t="s">
        <v>44</v>
      </c>
      <c r="G1" s="46" t="s">
        <v>10</v>
      </c>
      <c r="H1" s="47" t="s">
        <v>45</v>
      </c>
      <c r="I1" s="48" t="s">
        <v>46</v>
      </c>
      <c r="J1" t="s">
        <v>47</v>
      </c>
    </row>
    <row r="2" spans="1:10" ht="15" thickBot="1" x14ac:dyDescent="0.35">
      <c r="A2" s="31" t="s">
        <v>1</v>
      </c>
      <c r="B2" s="57" t="s">
        <v>2</v>
      </c>
      <c r="C2" s="58" t="s">
        <v>3</v>
      </c>
      <c r="D2" s="59" t="s">
        <v>4</v>
      </c>
      <c r="E2" s="57" t="s">
        <v>5</v>
      </c>
      <c r="F2" s="59" t="s">
        <v>6</v>
      </c>
      <c r="G2" s="57" t="s">
        <v>7</v>
      </c>
      <c r="H2" s="58" t="s">
        <v>9</v>
      </c>
      <c r="I2" s="59" t="s">
        <v>8</v>
      </c>
      <c r="J2" s="40" t="s">
        <v>11</v>
      </c>
    </row>
    <row r="3" spans="1:10" x14ac:dyDescent="0.3">
      <c r="A3" s="31">
        <v>25</v>
      </c>
      <c r="B3" s="49">
        <v>1.99</v>
      </c>
      <c r="C3" s="50">
        <v>3.95</v>
      </c>
      <c r="D3" s="51">
        <v>4.1399999999999997</v>
      </c>
      <c r="E3" s="52">
        <v>4.09</v>
      </c>
      <c r="F3" s="53">
        <v>4.18</v>
      </c>
      <c r="G3" s="54">
        <v>3.29</v>
      </c>
      <c r="H3" s="55">
        <v>3.84</v>
      </c>
      <c r="I3" s="56">
        <v>3.75</v>
      </c>
      <c r="J3" s="41">
        <v>0</v>
      </c>
    </row>
    <row r="4" spans="1:10" x14ac:dyDescent="0.3">
      <c r="A4" s="31">
        <v>26</v>
      </c>
      <c r="B4" s="34">
        <v>3.7</v>
      </c>
      <c r="C4" s="28">
        <v>4.7699999999999996</v>
      </c>
      <c r="D4" s="35">
        <v>5.04</v>
      </c>
      <c r="E4" s="36">
        <v>4.8499999999999996</v>
      </c>
      <c r="F4" s="37">
        <v>5.01</v>
      </c>
      <c r="G4" s="38">
        <v>4.79</v>
      </c>
      <c r="H4" s="29">
        <v>5.43</v>
      </c>
      <c r="I4" s="39">
        <v>5.46</v>
      </c>
      <c r="J4" s="42">
        <v>5.1100000000000003</v>
      </c>
    </row>
    <row r="5" spans="1:10" x14ac:dyDescent="0.3">
      <c r="A5" s="31">
        <v>27</v>
      </c>
      <c r="B5" s="34">
        <v>5.51</v>
      </c>
      <c r="C5" s="28">
        <v>6.28</v>
      </c>
      <c r="D5" s="35">
        <v>6.34</v>
      </c>
      <c r="E5" s="36">
        <v>6.54</v>
      </c>
      <c r="F5" s="37">
        <v>6.63</v>
      </c>
      <c r="G5" s="38">
        <v>6.36</v>
      </c>
      <c r="H5" s="29">
        <v>7.4</v>
      </c>
      <c r="I5" s="39">
        <v>7.46</v>
      </c>
      <c r="J5" s="43">
        <v>1.56</v>
      </c>
    </row>
    <row r="6" spans="1:10" x14ac:dyDescent="0.3">
      <c r="A6" s="31">
        <v>28</v>
      </c>
      <c r="B6" s="34">
        <v>3.72</v>
      </c>
      <c r="C6" s="28">
        <v>6.01</v>
      </c>
      <c r="D6" s="35">
        <v>6.04</v>
      </c>
      <c r="E6" s="36">
        <v>6.22</v>
      </c>
      <c r="F6" s="37">
        <v>6.34</v>
      </c>
      <c r="G6" s="38">
        <v>5.48</v>
      </c>
      <c r="H6" s="29">
        <v>6.25</v>
      </c>
      <c r="I6" s="39">
        <v>6.19</v>
      </c>
      <c r="J6" s="43">
        <v>5.19</v>
      </c>
    </row>
    <row r="7" spans="1:10" x14ac:dyDescent="0.3">
      <c r="A7" s="31">
        <v>29</v>
      </c>
      <c r="B7" s="34">
        <v>4.08</v>
      </c>
      <c r="C7" s="28">
        <v>6.65</v>
      </c>
      <c r="D7" s="35">
        <v>6.71</v>
      </c>
      <c r="E7" s="36">
        <v>6.86</v>
      </c>
      <c r="F7" s="37">
        <v>6.9</v>
      </c>
      <c r="G7" s="38">
        <v>5.73</v>
      </c>
      <c r="H7" s="29">
        <v>6.62</v>
      </c>
      <c r="I7" s="39">
        <v>6.6</v>
      </c>
      <c r="J7" s="43">
        <v>4.7300000000000004</v>
      </c>
    </row>
    <row r="8" spans="1:10" x14ac:dyDescent="0.3">
      <c r="A8" s="31">
        <v>30</v>
      </c>
      <c r="B8" s="34">
        <v>4.8499999999999996</v>
      </c>
      <c r="C8" s="28">
        <v>6.5</v>
      </c>
      <c r="D8" s="35">
        <v>6.63</v>
      </c>
      <c r="E8" s="36">
        <v>6.73</v>
      </c>
      <c r="F8" s="37">
        <v>6.73</v>
      </c>
      <c r="G8" s="38">
        <v>5.66</v>
      </c>
      <c r="H8" s="29">
        <v>6.49</v>
      </c>
      <c r="I8" s="39">
        <v>6.4</v>
      </c>
      <c r="J8" s="42">
        <v>5.82</v>
      </c>
    </row>
    <row r="9" spans="1:10" x14ac:dyDescent="0.3">
      <c r="A9" s="31">
        <v>31</v>
      </c>
      <c r="B9" s="34">
        <v>3.73</v>
      </c>
      <c r="C9" s="28">
        <v>5.95</v>
      </c>
      <c r="D9" s="35">
        <v>6.94</v>
      </c>
      <c r="E9" s="36">
        <v>6.24</v>
      </c>
      <c r="F9" s="37">
        <v>6.25</v>
      </c>
      <c r="G9" s="38">
        <v>5.56</v>
      </c>
      <c r="H9" s="29">
        <v>6.74</v>
      </c>
      <c r="I9" s="39">
        <v>6.85</v>
      </c>
      <c r="J9" s="42">
        <v>5.52</v>
      </c>
    </row>
    <row r="10" spans="1:10" x14ac:dyDescent="0.3">
      <c r="A10" s="31">
        <v>1</v>
      </c>
      <c r="B10" s="34">
        <v>4.74</v>
      </c>
      <c r="C10" s="28">
        <v>5.44</v>
      </c>
      <c r="D10" s="35">
        <v>5.54</v>
      </c>
      <c r="E10" s="36">
        <v>5.61</v>
      </c>
      <c r="F10" s="37">
        <v>5.65</v>
      </c>
      <c r="G10" s="38">
        <v>4.83</v>
      </c>
      <c r="H10" s="29">
        <v>5.48</v>
      </c>
      <c r="I10" s="39">
        <v>5.46</v>
      </c>
      <c r="J10" s="42">
        <v>5.99</v>
      </c>
    </row>
    <row r="11" spans="1:10" x14ac:dyDescent="0.3">
      <c r="A11" s="31">
        <v>2</v>
      </c>
      <c r="B11" s="34">
        <v>2.81</v>
      </c>
      <c r="C11" s="28">
        <v>5.54</v>
      </c>
      <c r="D11" s="35">
        <v>5.69</v>
      </c>
      <c r="E11" s="36">
        <v>5.76</v>
      </c>
      <c r="F11" s="37">
        <v>5.76</v>
      </c>
      <c r="G11" s="38">
        <v>5.79</v>
      </c>
      <c r="H11" s="29">
        <v>6.55</v>
      </c>
      <c r="I11" s="39">
        <v>6.45</v>
      </c>
      <c r="J11" s="42">
        <v>5.58</v>
      </c>
    </row>
    <row r="12" spans="1:10" x14ac:dyDescent="0.3">
      <c r="A12" s="31">
        <v>3</v>
      </c>
      <c r="B12" s="34">
        <v>3.8</v>
      </c>
      <c r="C12" s="28">
        <v>6.14</v>
      </c>
      <c r="D12" s="35">
        <v>6.09</v>
      </c>
      <c r="E12" s="36">
        <v>6.35</v>
      </c>
      <c r="F12" s="37">
        <v>6.72</v>
      </c>
      <c r="G12" s="38">
        <v>5.87</v>
      </c>
      <c r="H12" s="29">
        <v>6.64</v>
      </c>
      <c r="I12" s="39">
        <v>6.54</v>
      </c>
      <c r="J12" s="42">
        <v>5.48</v>
      </c>
    </row>
    <row r="13" spans="1:10" x14ac:dyDescent="0.3">
      <c r="A13" s="31">
        <v>4</v>
      </c>
      <c r="B13" s="34">
        <v>3.15</v>
      </c>
      <c r="C13" s="28">
        <v>5.03</v>
      </c>
      <c r="D13" s="35">
        <v>5.18</v>
      </c>
      <c r="E13" s="36">
        <v>5.44</v>
      </c>
      <c r="F13" s="37">
        <v>5.71</v>
      </c>
      <c r="G13" s="38">
        <v>5.63</v>
      </c>
      <c r="H13" s="29">
        <v>6.55</v>
      </c>
      <c r="I13" s="39">
        <v>6.47</v>
      </c>
      <c r="J13" s="42">
        <v>5.87</v>
      </c>
    </row>
    <row r="14" spans="1:10" x14ac:dyDescent="0.3">
      <c r="A14" s="31">
        <v>5</v>
      </c>
      <c r="B14" s="34">
        <v>3.04</v>
      </c>
      <c r="C14" s="28">
        <v>6.1</v>
      </c>
      <c r="D14" s="35">
        <v>6.17</v>
      </c>
      <c r="E14" s="36">
        <v>6.34</v>
      </c>
      <c r="F14" s="37">
        <v>6.29</v>
      </c>
      <c r="G14" s="38">
        <v>6.27</v>
      </c>
      <c r="H14" s="29">
        <v>7.17</v>
      </c>
      <c r="I14" s="39">
        <v>7.23</v>
      </c>
      <c r="J14" s="42">
        <v>6.43</v>
      </c>
    </row>
    <row r="15" spans="1:10" x14ac:dyDescent="0.3">
      <c r="A15" s="32">
        <v>6</v>
      </c>
      <c r="B15" s="34">
        <v>1.43</v>
      </c>
      <c r="C15" s="28">
        <v>6.49</v>
      </c>
      <c r="D15" s="35">
        <v>6.65</v>
      </c>
      <c r="E15" s="36">
        <v>6.63</v>
      </c>
      <c r="F15" s="37">
        <v>6.54</v>
      </c>
      <c r="G15" s="38">
        <v>5.68</v>
      </c>
      <c r="H15" s="29">
        <v>6.51</v>
      </c>
      <c r="I15" s="39">
        <v>6.32</v>
      </c>
      <c r="J15" s="44">
        <v>5.51</v>
      </c>
    </row>
    <row r="16" spans="1:10" x14ac:dyDescent="0.3">
      <c r="A16" s="32">
        <v>7</v>
      </c>
      <c r="B16" s="34">
        <v>0</v>
      </c>
      <c r="C16" s="28">
        <v>5.54</v>
      </c>
      <c r="D16" s="35">
        <v>5.76</v>
      </c>
      <c r="E16" s="36">
        <v>5.71</v>
      </c>
      <c r="F16" s="37">
        <v>5.76</v>
      </c>
      <c r="G16" s="38">
        <v>4.8899999999999997</v>
      </c>
      <c r="H16" s="29">
        <v>5.88</v>
      </c>
      <c r="I16" s="39">
        <v>5.72</v>
      </c>
      <c r="J16" s="44">
        <v>4.8</v>
      </c>
    </row>
    <row r="17" spans="1:10" x14ac:dyDescent="0.3">
      <c r="A17" s="33">
        <v>8</v>
      </c>
      <c r="B17" s="34">
        <v>0</v>
      </c>
      <c r="C17" s="28">
        <v>6.33</v>
      </c>
      <c r="D17" s="35">
        <v>6.5</v>
      </c>
      <c r="E17" s="36">
        <v>6.78</v>
      </c>
      <c r="F17" s="37">
        <v>7.12</v>
      </c>
      <c r="G17" s="38">
        <v>5.92</v>
      </c>
      <c r="H17" s="29">
        <v>6.98</v>
      </c>
      <c r="I17" s="39">
        <v>6.89</v>
      </c>
      <c r="J17" s="45">
        <v>4.91</v>
      </c>
    </row>
    <row r="18" spans="1:10" x14ac:dyDescent="0.3">
      <c r="A18" s="33">
        <v>9</v>
      </c>
      <c r="B18" s="34">
        <v>0</v>
      </c>
      <c r="C18" s="28">
        <v>6.15</v>
      </c>
      <c r="D18" s="35">
        <v>6.41</v>
      </c>
      <c r="E18" s="36">
        <v>6.39</v>
      </c>
      <c r="F18" s="37">
        <v>6.49</v>
      </c>
      <c r="G18" s="38">
        <v>5.95</v>
      </c>
      <c r="H18" s="29">
        <v>6.87</v>
      </c>
      <c r="I18" s="39">
        <v>6.88</v>
      </c>
      <c r="J18" s="45">
        <v>5.66</v>
      </c>
    </row>
    <row r="19" spans="1:10" x14ac:dyDescent="0.3">
      <c r="A19" s="33">
        <v>10</v>
      </c>
      <c r="B19" s="34">
        <v>0</v>
      </c>
      <c r="C19" s="28">
        <v>5.09</v>
      </c>
      <c r="D19" s="35">
        <v>5.2</v>
      </c>
      <c r="E19" s="36">
        <v>5.31</v>
      </c>
      <c r="F19" s="37">
        <v>5.41</v>
      </c>
      <c r="G19" s="38">
        <v>3.32</v>
      </c>
      <c r="H19" s="29">
        <v>4.45</v>
      </c>
      <c r="I19" s="39">
        <v>4.32</v>
      </c>
      <c r="J19" s="45">
        <v>4.25</v>
      </c>
    </row>
    <row r="20" spans="1:10" x14ac:dyDescent="0.3">
      <c r="A20" s="33">
        <v>11</v>
      </c>
      <c r="B20" s="34">
        <v>0</v>
      </c>
      <c r="C20" s="28">
        <v>3.59</v>
      </c>
      <c r="D20" s="35">
        <v>3.68</v>
      </c>
      <c r="E20" s="36">
        <v>3.82</v>
      </c>
      <c r="F20" s="37">
        <v>3.87</v>
      </c>
      <c r="G20" s="38">
        <v>3.1</v>
      </c>
      <c r="H20" s="29">
        <v>3.52</v>
      </c>
      <c r="I20" s="39">
        <v>3.51</v>
      </c>
      <c r="J20" s="45">
        <v>4.5199999999999996</v>
      </c>
    </row>
    <row r="21" spans="1:10" x14ac:dyDescent="0.3">
      <c r="A21" s="33">
        <v>12</v>
      </c>
      <c r="B21" s="34">
        <v>0</v>
      </c>
      <c r="C21" s="28">
        <v>4.01</v>
      </c>
      <c r="D21" s="35">
        <v>4.1100000000000003</v>
      </c>
      <c r="E21" s="36">
        <v>4.2</v>
      </c>
      <c r="F21" s="37">
        <v>4.2</v>
      </c>
      <c r="G21" s="38">
        <v>4.0599999999999996</v>
      </c>
      <c r="H21" s="29">
        <v>4.63</v>
      </c>
      <c r="I21" s="39">
        <v>4.5999999999999996</v>
      </c>
      <c r="J21" s="45">
        <v>2.83</v>
      </c>
    </row>
    <row r="22" spans="1:10" x14ac:dyDescent="0.3">
      <c r="A22" s="33">
        <v>13</v>
      </c>
      <c r="B22" s="34">
        <v>0</v>
      </c>
      <c r="C22" s="28">
        <v>4.99</v>
      </c>
      <c r="D22" s="35">
        <v>5.12</v>
      </c>
      <c r="E22" s="36">
        <v>5.19</v>
      </c>
      <c r="F22" s="37">
        <v>5.34</v>
      </c>
      <c r="G22" s="38">
        <v>4.8600000000000003</v>
      </c>
      <c r="H22" s="29">
        <v>5.81</v>
      </c>
      <c r="I22" s="39">
        <v>5.72</v>
      </c>
      <c r="J22" s="45">
        <v>5.35</v>
      </c>
    </row>
    <row r="23" spans="1:10" x14ac:dyDescent="0.3">
      <c r="A23" s="33">
        <v>14</v>
      </c>
      <c r="B23" s="34">
        <v>7.44</v>
      </c>
      <c r="C23" s="28">
        <v>7.42</v>
      </c>
      <c r="D23" s="35">
        <v>7.46</v>
      </c>
      <c r="E23" s="36">
        <v>7.68</v>
      </c>
      <c r="F23" s="37">
        <v>7.69</v>
      </c>
      <c r="G23" s="38">
        <v>6.09</v>
      </c>
      <c r="H23" s="29">
        <v>7.83</v>
      </c>
      <c r="I23" s="39">
        <v>7.74</v>
      </c>
      <c r="J23" s="45">
        <v>5.82</v>
      </c>
    </row>
    <row r="24" spans="1:10" x14ac:dyDescent="0.3">
      <c r="A24" s="33">
        <v>15</v>
      </c>
      <c r="B24" s="34">
        <v>6.39</v>
      </c>
      <c r="C24" s="28">
        <v>7.28</v>
      </c>
      <c r="D24" s="35">
        <v>7.36</v>
      </c>
      <c r="E24" s="36">
        <v>7.51</v>
      </c>
      <c r="F24" s="37">
        <v>7.55</v>
      </c>
      <c r="G24" s="38">
        <v>6.46</v>
      </c>
      <c r="H24" s="29">
        <v>7.53</v>
      </c>
      <c r="I24" s="39">
        <v>7.57</v>
      </c>
      <c r="J24" s="45">
        <v>6.83</v>
      </c>
    </row>
    <row r="25" spans="1:10" x14ac:dyDescent="0.3">
      <c r="A25" s="33">
        <v>16</v>
      </c>
      <c r="B25" s="34">
        <v>5.3</v>
      </c>
      <c r="C25" s="28">
        <v>6.97</v>
      </c>
      <c r="D25" s="35">
        <v>7.04</v>
      </c>
      <c r="E25" s="36">
        <v>7.2</v>
      </c>
      <c r="F25" s="37">
        <v>7.24</v>
      </c>
      <c r="G25" s="38">
        <v>6.32</v>
      </c>
      <c r="H25" s="29">
        <v>7.2</v>
      </c>
      <c r="I25" s="39">
        <v>7.15</v>
      </c>
      <c r="J25" s="45">
        <v>6.72</v>
      </c>
    </row>
    <row r="26" spans="1:10" x14ac:dyDescent="0.3">
      <c r="A26" s="33">
        <v>17</v>
      </c>
      <c r="B26" s="34">
        <v>5.42</v>
      </c>
      <c r="C26" s="28">
        <v>5.53</v>
      </c>
      <c r="D26" s="35">
        <v>5.62</v>
      </c>
      <c r="E26" s="36">
        <v>5.78</v>
      </c>
      <c r="F26" s="37">
        <v>5.66</v>
      </c>
      <c r="G26" s="38">
        <v>5.34</v>
      </c>
      <c r="H26" s="29">
        <v>6.55</v>
      </c>
      <c r="I26" s="39">
        <v>6.44</v>
      </c>
      <c r="J26" s="45">
        <v>3.58</v>
      </c>
    </row>
    <row r="27" spans="1:10" x14ac:dyDescent="0.3">
      <c r="A27" s="33">
        <v>18</v>
      </c>
      <c r="B27" s="34">
        <v>5.68</v>
      </c>
      <c r="C27" s="28">
        <v>6.55</v>
      </c>
      <c r="D27" s="35">
        <v>6.67</v>
      </c>
      <c r="E27" s="36">
        <v>6.8</v>
      </c>
      <c r="F27" s="37">
        <v>6.78</v>
      </c>
      <c r="G27" s="38">
        <v>6.43</v>
      </c>
      <c r="H27" s="29">
        <v>7.33</v>
      </c>
      <c r="I27" s="39">
        <v>7.35</v>
      </c>
      <c r="J27" s="45">
        <v>5.52</v>
      </c>
    </row>
    <row r="28" spans="1:10" x14ac:dyDescent="0.3">
      <c r="A28" s="33">
        <v>19</v>
      </c>
      <c r="B28" s="34">
        <v>5.29</v>
      </c>
      <c r="C28" s="28">
        <v>6.95</v>
      </c>
      <c r="D28" s="35">
        <v>7.12</v>
      </c>
      <c r="E28" s="36">
        <v>7.27</v>
      </c>
      <c r="F28" s="37">
        <v>7.36</v>
      </c>
      <c r="G28" s="38">
        <v>6.73</v>
      </c>
      <c r="H28" s="29">
        <v>7.76</v>
      </c>
      <c r="I28" s="39">
        <v>7.68</v>
      </c>
      <c r="J28" s="45">
        <v>6.91</v>
      </c>
    </row>
    <row r="29" spans="1:10" x14ac:dyDescent="0.3">
      <c r="A29" s="33">
        <v>20</v>
      </c>
      <c r="B29" s="34">
        <v>3.08</v>
      </c>
      <c r="C29" s="28">
        <v>6.24</v>
      </c>
      <c r="D29" s="35">
        <v>6.36</v>
      </c>
      <c r="E29" s="36">
        <v>6.35</v>
      </c>
      <c r="F29" s="37">
        <v>6.26</v>
      </c>
      <c r="G29" s="38">
        <v>5.5</v>
      </c>
      <c r="H29" s="29">
        <v>6.18</v>
      </c>
      <c r="I29" s="39">
        <v>6.09</v>
      </c>
      <c r="J29" s="45">
        <v>5.25</v>
      </c>
    </row>
    <row r="30" spans="1:10" x14ac:dyDescent="0.3">
      <c r="A30" s="33">
        <v>21</v>
      </c>
      <c r="B30" s="34">
        <v>5.82</v>
      </c>
      <c r="C30" s="28">
        <v>6.73</v>
      </c>
      <c r="D30" s="35">
        <v>6.93</v>
      </c>
      <c r="E30" s="36">
        <v>7.07</v>
      </c>
      <c r="F30" s="37">
        <v>7.06</v>
      </c>
      <c r="G30" s="38">
        <v>6.34</v>
      </c>
      <c r="H30" s="29">
        <v>7.28</v>
      </c>
      <c r="I30" s="39">
        <v>7.27</v>
      </c>
      <c r="J30" s="45">
        <v>6.23</v>
      </c>
    </row>
    <row r="31" spans="1:10" x14ac:dyDescent="0.3">
      <c r="A31" s="33">
        <v>22</v>
      </c>
      <c r="B31" s="34">
        <v>4.3499999999999996</v>
      </c>
      <c r="C31" s="28">
        <v>6.97</v>
      </c>
      <c r="D31" s="35">
        <v>7.08</v>
      </c>
      <c r="E31" s="36">
        <v>7.21</v>
      </c>
      <c r="F31" s="37">
        <v>7.22</v>
      </c>
      <c r="G31" s="38">
        <v>6.13</v>
      </c>
      <c r="H31" s="29">
        <v>7.1</v>
      </c>
      <c r="I31" s="39">
        <v>7.07</v>
      </c>
      <c r="J31" s="45">
        <v>5.53</v>
      </c>
    </row>
    <row r="32" spans="1:10" x14ac:dyDescent="0.3">
      <c r="A32" s="33">
        <v>23</v>
      </c>
      <c r="B32" s="34">
        <v>5.92</v>
      </c>
      <c r="C32" s="28">
        <v>6</v>
      </c>
      <c r="D32" s="35">
        <v>6</v>
      </c>
      <c r="E32" s="36">
        <v>6.36</v>
      </c>
      <c r="F32" s="37">
        <v>6.45</v>
      </c>
      <c r="G32" s="38">
        <v>5.78</v>
      </c>
      <c r="H32" s="29">
        <v>6.58</v>
      </c>
      <c r="I32" s="39">
        <v>6.6</v>
      </c>
      <c r="J32" s="45">
        <v>5.24</v>
      </c>
    </row>
    <row r="33" spans="1:10" x14ac:dyDescent="0.3">
      <c r="A33" s="33">
        <v>24</v>
      </c>
      <c r="B33" s="34">
        <v>6.45</v>
      </c>
      <c r="C33" s="28">
        <v>6.01</v>
      </c>
      <c r="D33" s="35">
        <v>6.56</v>
      </c>
      <c r="E33" s="36">
        <v>6.5</v>
      </c>
      <c r="F33" s="37">
        <v>6.66</v>
      </c>
      <c r="G33" s="38">
        <v>6.43</v>
      </c>
      <c r="H33" s="29">
        <v>7.33</v>
      </c>
      <c r="I33" s="39">
        <v>7.38</v>
      </c>
      <c r="J33" s="45">
        <v>6.08</v>
      </c>
    </row>
    <row r="34" spans="1:10" x14ac:dyDescent="0.3">
      <c r="A34" s="33">
        <v>25</v>
      </c>
      <c r="B34" s="34">
        <v>2.29</v>
      </c>
      <c r="C34" s="28">
        <v>6.11</v>
      </c>
      <c r="D34" s="35">
        <v>6.21</v>
      </c>
      <c r="E34" s="36">
        <v>6.37</v>
      </c>
      <c r="F34" s="37">
        <v>6.45</v>
      </c>
      <c r="G34" s="38">
        <v>5.88</v>
      </c>
      <c r="H34" s="29">
        <v>6.8</v>
      </c>
      <c r="I34" s="39">
        <v>6.82</v>
      </c>
      <c r="J34" s="45">
        <v>5.85</v>
      </c>
    </row>
    <row r="35" spans="1:10" x14ac:dyDescent="0.3">
      <c r="A35" s="33">
        <v>26</v>
      </c>
      <c r="B35" s="34">
        <v>4.9800000000000004</v>
      </c>
      <c r="C35" s="28">
        <v>6.98</v>
      </c>
      <c r="D35" s="35">
        <v>7.26</v>
      </c>
      <c r="E35" s="36">
        <v>7.27</v>
      </c>
      <c r="F35" s="37">
        <v>7.31</v>
      </c>
      <c r="G35" s="38">
        <v>6.82</v>
      </c>
      <c r="H35" s="29">
        <v>7.82</v>
      </c>
      <c r="I35" s="39">
        <v>7.8</v>
      </c>
      <c r="J35" s="45">
        <v>5.57</v>
      </c>
    </row>
    <row r="36" spans="1:10" x14ac:dyDescent="0.3">
      <c r="A36" s="33">
        <v>27</v>
      </c>
      <c r="B36" s="34">
        <v>6.96</v>
      </c>
      <c r="C36" s="28">
        <v>7.02</v>
      </c>
      <c r="D36" s="35">
        <v>7.09</v>
      </c>
      <c r="E36" s="36">
        <v>7.41</v>
      </c>
      <c r="F36" s="37">
        <v>7.52</v>
      </c>
      <c r="G36" s="38">
        <v>6.32</v>
      </c>
      <c r="H36" s="29">
        <v>7.39</v>
      </c>
      <c r="I36" s="39">
        <v>7.38</v>
      </c>
      <c r="J36" s="45">
        <v>6.48</v>
      </c>
    </row>
    <row r="37" spans="1:10" x14ac:dyDescent="0.3">
      <c r="A37" s="33">
        <v>28</v>
      </c>
      <c r="B37" s="34">
        <v>4.28</v>
      </c>
      <c r="C37" s="28">
        <v>6.87</v>
      </c>
      <c r="D37" s="35">
        <v>6.94</v>
      </c>
      <c r="E37" s="36">
        <v>6.96</v>
      </c>
      <c r="F37" s="37">
        <v>6.87</v>
      </c>
      <c r="G37" s="38">
        <v>6.3</v>
      </c>
      <c r="H37" s="29">
        <v>7.21</v>
      </c>
      <c r="I37" s="39">
        <v>7.2</v>
      </c>
      <c r="J37" s="45">
        <v>3.66</v>
      </c>
    </row>
    <row r="38" spans="1:10" x14ac:dyDescent="0.3">
      <c r="A38" s="33">
        <v>29</v>
      </c>
      <c r="B38" s="34">
        <v>3.65</v>
      </c>
      <c r="C38" s="28">
        <v>5.92</v>
      </c>
      <c r="D38" s="35">
        <v>5.91</v>
      </c>
      <c r="E38" s="36">
        <v>6.19</v>
      </c>
      <c r="F38" s="37">
        <v>6.05</v>
      </c>
      <c r="G38" s="38">
        <v>5.42</v>
      </c>
      <c r="H38" s="29">
        <v>6.23</v>
      </c>
      <c r="I38" s="39">
        <v>6.16</v>
      </c>
      <c r="J38" s="45">
        <v>4.5199999999999996</v>
      </c>
    </row>
    <row r="39" spans="1:10" x14ac:dyDescent="0.3">
      <c r="A39" s="33">
        <v>30</v>
      </c>
      <c r="B39" s="34">
        <v>5.31</v>
      </c>
      <c r="C39" s="28">
        <v>7</v>
      </c>
      <c r="D39" s="35">
        <v>7.24</v>
      </c>
      <c r="E39" s="36">
        <v>7.29</v>
      </c>
      <c r="F39" s="37">
        <v>7.27</v>
      </c>
      <c r="G39" s="38">
        <v>6.49</v>
      </c>
      <c r="H39" s="29">
        <v>7.36</v>
      </c>
      <c r="I39" s="39">
        <v>7.3</v>
      </c>
      <c r="J39" s="45">
        <v>7.3</v>
      </c>
    </row>
    <row r="40" spans="1:10" x14ac:dyDescent="0.3">
      <c r="A40" s="33">
        <v>1</v>
      </c>
      <c r="B40" s="34">
        <v>2.12</v>
      </c>
      <c r="C40" s="28">
        <v>5.5</v>
      </c>
      <c r="D40" s="35">
        <v>5.65</v>
      </c>
      <c r="E40" s="36">
        <v>5.87</v>
      </c>
      <c r="F40" s="37">
        <v>6.14</v>
      </c>
      <c r="G40" s="38">
        <v>5.27</v>
      </c>
      <c r="H40" s="29">
        <v>6.2</v>
      </c>
      <c r="I40" s="39">
        <v>6.13</v>
      </c>
      <c r="J40" s="45">
        <v>6.13</v>
      </c>
    </row>
    <row r="41" spans="1:10" x14ac:dyDescent="0.3">
      <c r="A41" s="33">
        <v>2</v>
      </c>
      <c r="B41" s="34">
        <v>4.1500000000000004</v>
      </c>
      <c r="C41" s="28">
        <v>5.52</v>
      </c>
      <c r="D41" s="35">
        <v>5.58</v>
      </c>
      <c r="E41" s="36">
        <v>6.06</v>
      </c>
      <c r="F41" s="37">
        <v>6.4</v>
      </c>
      <c r="G41" s="38">
        <v>5.28</v>
      </c>
      <c r="H41" s="29">
        <v>6.15</v>
      </c>
      <c r="I41" s="39">
        <v>6.38</v>
      </c>
      <c r="J41" s="45">
        <v>6.38</v>
      </c>
    </row>
    <row r="42" spans="1:10" x14ac:dyDescent="0.3">
      <c r="A42" s="33">
        <v>3</v>
      </c>
      <c r="B42" s="34">
        <v>2.88</v>
      </c>
      <c r="C42" s="28">
        <v>5.75</v>
      </c>
      <c r="D42" s="35">
        <v>5.88</v>
      </c>
      <c r="E42" s="36">
        <v>5.91</v>
      </c>
      <c r="F42" s="37">
        <v>5.92</v>
      </c>
      <c r="G42" s="38">
        <v>5</v>
      </c>
      <c r="H42" s="29">
        <v>5.73</v>
      </c>
      <c r="I42" s="39">
        <v>5.65</v>
      </c>
      <c r="J42" s="45">
        <v>5.65</v>
      </c>
    </row>
    <row r="43" spans="1:10" x14ac:dyDescent="0.3">
      <c r="A43" s="33">
        <v>4</v>
      </c>
      <c r="B43" s="34">
        <v>1.07</v>
      </c>
      <c r="C43" s="28">
        <v>2.85</v>
      </c>
      <c r="D43" s="35">
        <v>2.95</v>
      </c>
      <c r="E43" s="36">
        <v>2.97</v>
      </c>
      <c r="F43" s="37">
        <v>3</v>
      </c>
      <c r="G43" s="38">
        <v>2.78</v>
      </c>
      <c r="H43" s="29">
        <v>3.2</v>
      </c>
      <c r="I43" s="39">
        <v>3.18</v>
      </c>
      <c r="J43" s="45">
        <v>3.58</v>
      </c>
    </row>
    <row r="44" spans="1:10" x14ac:dyDescent="0.3">
      <c r="A44" s="33">
        <v>5</v>
      </c>
      <c r="B44" s="34">
        <v>5.97</v>
      </c>
      <c r="C44" s="28">
        <v>6.79</v>
      </c>
      <c r="D44" s="35">
        <v>6.93</v>
      </c>
      <c r="E44" s="36">
        <v>7.11</v>
      </c>
      <c r="F44" s="37">
        <v>7.19</v>
      </c>
      <c r="G44" s="38">
        <v>6.11</v>
      </c>
      <c r="H44" s="29">
        <v>7.02</v>
      </c>
      <c r="I44" s="39">
        <v>6.95</v>
      </c>
      <c r="J44" s="45">
        <v>5.04</v>
      </c>
    </row>
    <row r="45" spans="1:10" x14ac:dyDescent="0.3">
      <c r="A45" s="33">
        <v>6</v>
      </c>
      <c r="B45" s="34">
        <v>5.6959</v>
      </c>
      <c r="C45" s="28">
        <v>5.1779999999999999</v>
      </c>
      <c r="D45" s="35">
        <v>5.2649000000000008</v>
      </c>
      <c r="E45" s="36">
        <v>5.3843000000000005</v>
      </c>
      <c r="F45" s="37">
        <v>5.3422000000000001</v>
      </c>
      <c r="G45" s="38">
        <v>5.7187000000000001</v>
      </c>
      <c r="H45" s="29">
        <v>5.3609999999999998</v>
      </c>
      <c r="I45" s="39">
        <v>5.4037999999999995</v>
      </c>
      <c r="J45" s="45">
        <v>4.3928000000000003</v>
      </c>
    </row>
    <row r="46" spans="1:10" x14ac:dyDescent="0.3">
      <c r="A46" s="60">
        <v>7</v>
      </c>
      <c r="B46" s="61">
        <v>4.9866000000000001</v>
      </c>
      <c r="C46" s="62">
        <v>4.1478999999999999</v>
      </c>
      <c r="D46" s="63">
        <v>4.2741999999999996</v>
      </c>
      <c r="E46" s="64">
        <v>4.2226000000000008</v>
      </c>
      <c r="F46" s="65">
        <v>4.1932000000000009</v>
      </c>
      <c r="G46" s="66">
        <v>5.2362000000000002</v>
      </c>
      <c r="H46" s="67">
        <v>4.8336999999999994</v>
      </c>
      <c r="I46" s="68">
        <v>4.9046000000000003</v>
      </c>
      <c r="J46" s="69">
        <v>5.5456000000000003</v>
      </c>
    </row>
    <row r="47" spans="1:10" x14ac:dyDescent="0.3">
      <c r="A47" s="16">
        <v>8</v>
      </c>
      <c r="B47" s="74">
        <f>4519.8/1000</f>
        <v>4.5198</v>
      </c>
      <c r="C47" s="62">
        <v>4.6100000000000003</v>
      </c>
      <c r="D47" s="62">
        <v>4.5599999999999996</v>
      </c>
      <c r="E47" s="64">
        <v>4.8099999999999996</v>
      </c>
      <c r="F47" s="64">
        <v>4.83</v>
      </c>
      <c r="G47" s="66">
        <v>4.3099999999999996</v>
      </c>
      <c r="H47" s="66">
        <v>5.29</v>
      </c>
      <c r="I47" s="66">
        <v>5.32</v>
      </c>
      <c r="J47" s="69">
        <v>5.19</v>
      </c>
    </row>
    <row r="48" spans="1:10" x14ac:dyDescent="0.3">
      <c r="A48" s="16">
        <v>9</v>
      </c>
      <c r="B48" s="74">
        <f>4568.83/1000</f>
        <v>4.5688300000000002</v>
      </c>
      <c r="C48" s="62">
        <v>4.59</v>
      </c>
      <c r="D48" s="62">
        <v>4.78</v>
      </c>
      <c r="E48" s="64">
        <v>4.6900000000000004</v>
      </c>
      <c r="F48" s="64">
        <v>4.6100000000000003</v>
      </c>
      <c r="G48" s="66">
        <v>5.1100000000000003</v>
      </c>
      <c r="H48" s="66">
        <v>5.79</v>
      </c>
      <c r="I48" s="66">
        <v>5.85</v>
      </c>
      <c r="J48" s="69">
        <v>5.34</v>
      </c>
    </row>
    <row r="49" spans="1:10" x14ac:dyDescent="0.3">
      <c r="A49" s="16">
        <v>10</v>
      </c>
      <c r="B49" s="74">
        <f>6652.37/1000</f>
        <v>6.6523699999999995</v>
      </c>
      <c r="C49" s="62">
        <f>6765.6/1000</f>
        <v>6.7656000000000001</v>
      </c>
      <c r="D49" s="62">
        <v>6.8411</v>
      </c>
      <c r="E49" s="64">
        <v>7.085</v>
      </c>
      <c r="F49" s="64">
        <v>7.0872000000000002</v>
      </c>
      <c r="G49" s="66">
        <v>7.0084999999999988</v>
      </c>
      <c r="H49" s="66">
        <v>7.2101999999999995</v>
      </c>
      <c r="I49" s="66">
        <v>7.2557999999999998</v>
      </c>
      <c r="J49" s="69">
        <v>6.0285999999999991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DFD5-5F60-4488-BD02-D9D46BEE4197}">
  <dimension ref="A1:W125"/>
  <sheetViews>
    <sheetView topLeftCell="A18" zoomScaleNormal="100" workbookViewId="0">
      <selection sqref="A1:J49"/>
    </sheetView>
  </sheetViews>
  <sheetFormatPr defaultRowHeight="14.4" x14ac:dyDescent="0.3"/>
  <cols>
    <col min="2" max="2" width="8.5546875" customWidth="1"/>
    <col min="4" max="4" width="9.33203125" customWidth="1"/>
    <col min="12" max="13" width="14.5546875" customWidth="1"/>
    <col min="14" max="16" width="11.109375" customWidth="1"/>
    <col min="17" max="19" width="9.6640625" customWidth="1"/>
    <col min="20" max="20" width="10.21875" customWidth="1"/>
  </cols>
  <sheetData>
    <row r="1" spans="1:18" ht="15" thickBot="1" x14ac:dyDescent="0.35">
      <c r="B1" s="113" t="s">
        <v>2</v>
      </c>
      <c r="C1" s="114"/>
      <c r="D1" s="115"/>
      <c r="E1" s="113" t="s">
        <v>3</v>
      </c>
      <c r="F1" s="115"/>
      <c r="G1" s="113" t="s">
        <v>10</v>
      </c>
      <c r="H1" s="114"/>
      <c r="I1" s="115"/>
      <c r="L1" t="s">
        <v>34</v>
      </c>
    </row>
    <row r="2" spans="1:18" ht="15" thickBot="1" x14ac:dyDescent="0.35">
      <c r="A2" s="31" t="s">
        <v>1</v>
      </c>
      <c r="B2" s="57" t="s">
        <v>2</v>
      </c>
      <c r="C2" s="58" t="s">
        <v>3</v>
      </c>
      <c r="D2" s="59" t="s">
        <v>4</v>
      </c>
      <c r="E2" s="57" t="s">
        <v>5</v>
      </c>
      <c r="F2" s="59" t="s">
        <v>6</v>
      </c>
      <c r="G2" s="57" t="s">
        <v>7</v>
      </c>
      <c r="H2" s="58" t="s">
        <v>9</v>
      </c>
      <c r="I2" s="59" t="s">
        <v>8</v>
      </c>
      <c r="J2" s="40" t="s">
        <v>11</v>
      </c>
      <c r="L2" s="1" t="s">
        <v>33</v>
      </c>
      <c r="M2" s="1"/>
      <c r="O2" s="116" t="s">
        <v>39</v>
      </c>
      <c r="P2" s="116"/>
      <c r="R2" t="s">
        <v>40</v>
      </c>
    </row>
    <row r="3" spans="1:18" x14ac:dyDescent="0.3">
      <c r="A3" s="31">
        <v>25</v>
      </c>
      <c r="B3" s="49">
        <v>1.99</v>
      </c>
      <c r="C3" s="50">
        <v>3.95</v>
      </c>
      <c r="D3" s="51">
        <v>4.1399999999999997</v>
      </c>
      <c r="E3" s="52">
        <v>4.09</v>
      </c>
      <c r="F3" s="53">
        <v>4.18</v>
      </c>
      <c r="G3" s="54">
        <v>3.29</v>
      </c>
      <c r="H3" s="55">
        <v>3.84</v>
      </c>
      <c r="I3" s="56">
        <v>3.75</v>
      </c>
      <c r="J3" s="41">
        <v>0</v>
      </c>
    </row>
    <row r="4" spans="1:18" x14ac:dyDescent="0.3">
      <c r="A4" s="31">
        <v>26</v>
      </c>
      <c r="B4" s="34">
        <v>3.7</v>
      </c>
      <c r="C4" s="28">
        <v>4.7699999999999996</v>
      </c>
      <c r="D4" s="35">
        <v>5.04</v>
      </c>
      <c r="E4" s="36">
        <v>4.8499999999999996</v>
      </c>
      <c r="F4" s="37">
        <v>5.01</v>
      </c>
      <c r="G4" s="38">
        <v>4.79</v>
      </c>
      <c r="H4" s="29">
        <v>5.43</v>
      </c>
      <c r="I4" s="39">
        <v>5.46</v>
      </c>
      <c r="J4" s="42">
        <v>5.1100000000000003</v>
      </c>
      <c r="L4" s="77">
        <v>103.1</v>
      </c>
      <c r="O4" s="76">
        <v>179.5</v>
      </c>
      <c r="R4" s="77">
        <v>1.5</v>
      </c>
    </row>
    <row r="5" spans="1:18" x14ac:dyDescent="0.3">
      <c r="A5" s="31">
        <v>27</v>
      </c>
      <c r="B5" s="34">
        <v>5.51</v>
      </c>
      <c r="C5" s="28">
        <v>6.28</v>
      </c>
      <c r="D5" s="35">
        <v>6.34</v>
      </c>
      <c r="E5" s="36">
        <v>6.54</v>
      </c>
      <c r="F5" s="37">
        <v>6.63</v>
      </c>
      <c r="G5" s="38">
        <v>6.36</v>
      </c>
      <c r="H5" s="29">
        <v>7.4</v>
      </c>
      <c r="I5" s="39">
        <v>7.46</v>
      </c>
      <c r="J5" s="43">
        <v>1.56</v>
      </c>
      <c r="L5" s="77">
        <v>484.6</v>
      </c>
      <c r="O5" s="76">
        <v>934.2</v>
      </c>
      <c r="R5" s="77">
        <v>225.4</v>
      </c>
    </row>
    <row r="6" spans="1:18" x14ac:dyDescent="0.3">
      <c r="A6" s="31">
        <v>28</v>
      </c>
      <c r="B6" s="34">
        <v>3.72</v>
      </c>
      <c r="C6" s="28">
        <v>6.01</v>
      </c>
      <c r="D6" s="35">
        <v>6.04</v>
      </c>
      <c r="E6" s="36">
        <v>6.22</v>
      </c>
      <c r="F6" s="37">
        <v>6.34</v>
      </c>
      <c r="G6" s="38">
        <v>5.48</v>
      </c>
      <c r="H6" s="29">
        <v>6.25</v>
      </c>
      <c r="I6" s="39">
        <v>6.19</v>
      </c>
      <c r="J6" s="43">
        <v>5.19</v>
      </c>
      <c r="L6" s="77">
        <v>1134.2</v>
      </c>
      <c r="O6" s="76">
        <v>127.1</v>
      </c>
      <c r="R6" s="77">
        <v>1077.2</v>
      </c>
    </row>
    <row r="7" spans="1:18" x14ac:dyDescent="0.3">
      <c r="A7" s="31">
        <v>29</v>
      </c>
      <c r="B7" s="34">
        <v>4.08</v>
      </c>
      <c r="C7" s="28">
        <v>6.65</v>
      </c>
      <c r="D7" s="35">
        <v>6.71</v>
      </c>
      <c r="E7" s="36">
        <v>6.86</v>
      </c>
      <c r="F7" s="37">
        <v>6.9</v>
      </c>
      <c r="G7" s="38">
        <v>5.73</v>
      </c>
      <c r="H7" s="29">
        <v>6.62</v>
      </c>
      <c r="I7" s="39">
        <v>6.6</v>
      </c>
      <c r="J7" s="43">
        <v>4.7300000000000004</v>
      </c>
      <c r="L7" s="77">
        <v>2231.8000000000002</v>
      </c>
      <c r="O7" s="76">
        <v>2366.9</v>
      </c>
      <c r="R7" s="77">
        <v>1782.7</v>
      </c>
    </row>
    <row r="8" spans="1:18" x14ac:dyDescent="0.3">
      <c r="A8" s="31">
        <v>30</v>
      </c>
      <c r="B8" s="34">
        <v>4.8499999999999996</v>
      </c>
      <c r="C8" s="28">
        <v>6.5</v>
      </c>
      <c r="D8" s="35">
        <v>6.63</v>
      </c>
      <c r="E8" s="36">
        <v>6.73</v>
      </c>
      <c r="F8" s="37">
        <v>6.73</v>
      </c>
      <c r="G8" s="38">
        <v>5.66</v>
      </c>
      <c r="H8" s="29">
        <v>6.49</v>
      </c>
      <c r="I8" s="39">
        <v>6.4</v>
      </c>
      <c r="J8" s="42">
        <v>5.82</v>
      </c>
      <c r="L8" s="77">
        <v>2684.6</v>
      </c>
      <c r="O8" s="76">
        <v>2712.7</v>
      </c>
      <c r="R8" s="77">
        <v>2190.6</v>
      </c>
    </row>
    <row r="9" spans="1:18" x14ac:dyDescent="0.3">
      <c r="A9" s="31">
        <v>31</v>
      </c>
      <c r="B9" s="34">
        <v>3.73</v>
      </c>
      <c r="C9" s="28">
        <v>5.95</v>
      </c>
      <c r="D9" s="35">
        <v>6.94</v>
      </c>
      <c r="E9" s="36">
        <v>6.24</v>
      </c>
      <c r="F9" s="37">
        <v>6.25</v>
      </c>
      <c r="G9" s="38">
        <v>5.56</v>
      </c>
      <c r="H9" s="29">
        <v>6.74</v>
      </c>
      <c r="I9" s="39">
        <v>6.85</v>
      </c>
      <c r="J9" s="42">
        <v>5.52</v>
      </c>
      <c r="L9" s="77">
        <v>2863</v>
      </c>
      <c r="O9">
        <v>2858.1</v>
      </c>
      <c r="R9" s="77">
        <v>2053.3000000000002</v>
      </c>
    </row>
    <row r="10" spans="1:18" x14ac:dyDescent="0.3">
      <c r="A10" s="31">
        <v>1</v>
      </c>
      <c r="B10" s="34">
        <v>4.74</v>
      </c>
      <c r="C10" s="28">
        <v>5.44</v>
      </c>
      <c r="D10" s="35">
        <v>5.54</v>
      </c>
      <c r="E10" s="36">
        <v>5.61</v>
      </c>
      <c r="F10" s="37">
        <v>5.65</v>
      </c>
      <c r="G10" s="38">
        <v>4.83</v>
      </c>
      <c r="H10" s="29">
        <v>5.48</v>
      </c>
      <c r="I10" s="39">
        <v>5.46</v>
      </c>
      <c r="J10" s="42">
        <v>5.99</v>
      </c>
      <c r="L10" s="77">
        <v>2760.4</v>
      </c>
      <c r="O10" s="76">
        <v>2731.1</v>
      </c>
      <c r="R10" s="77">
        <v>2459.1</v>
      </c>
    </row>
    <row r="11" spans="1:18" x14ac:dyDescent="0.3">
      <c r="A11" s="31">
        <v>2</v>
      </c>
      <c r="B11" s="34">
        <v>2.81</v>
      </c>
      <c r="C11" s="28">
        <v>5.54</v>
      </c>
      <c r="D11" s="35">
        <v>5.69</v>
      </c>
      <c r="E11" s="36">
        <v>5.76</v>
      </c>
      <c r="F11" s="37">
        <v>5.76</v>
      </c>
      <c r="G11" s="38">
        <v>5.79</v>
      </c>
      <c r="H11" s="29">
        <v>6.55</v>
      </c>
      <c r="I11" s="39">
        <v>6.45</v>
      </c>
      <c r="J11" s="42">
        <v>5.58</v>
      </c>
      <c r="L11" s="77">
        <v>2105.1</v>
      </c>
      <c r="O11" s="76">
        <v>2448.6999999999998</v>
      </c>
      <c r="R11" s="77">
        <v>2548</v>
      </c>
    </row>
    <row r="12" spans="1:18" x14ac:dyDescent="0.3">
      <c r="A12" s="31">
        <v>3</v>
      </c>
      <c r="B12" s="34">
        <v>3.8</v>
      </c>
      <c r="C12" s="28">
        <v>6.14</v>
      </c>
      <c r="D12" s="35">
        <v>6.09</v>
      </c>
      <c r="E12" s="36">
        <v>6.35</v>
      </c>
      <c r="F12" s="37">
        <v>6.72</v>
      </c>
      <c r="G12" s="38">
        <v>5.87</v>
      </c>
      <c r="H12" s="29">
        <v>6.64</v>
      </c>
      <c r="I12" s="39">
        <v>6.54</v>
      </c>
      <c r="J12" s="42">
        <v>5.48</v>
      </c>
      <c r="L12" s="77">
        <v>1806.4</v>
      </c>
      <c r="O12" s="76">
        <v>1843.5</v>
      </c>
      <c r="R12" s="77">
        <v>2121.5</v>
      </c>
    </row>
    <row r="13" spans="1:18" x14ac:dyDescent="0.3">
      <c r="A13" s="31">
        <v>4</v>
      </c>
      <c r="B13" s="34">
        <v>3.15</v>
      </c>
      <c r="C13" s="28">
        <v>5.03</v>
      </c>
      <c r="D13" s="35">
        <v>5.18</v>
      </c>
      <c r="E13" s="36">
        <v>5.44</v>
      </c>
      <c r="F13" s="37">
        <v>5.71</v>
      </c>
      <c r="G13" s="38">
        <v>5.63</v>
      </c>
      <c r="H13" s="29">
        <v>6.55</v>
      </c>
      <c r="I13" s="39">
        <v>6.47</v>
      </c>
      <c r="J13" s="42">
        <v>5.87</v>
      </c>
      <c r="L13" s="77">
        <v>1054.0999999999999</v>
      </c>
      <c r="O13" s="76">
        <v>1214.8</v>
      </c>
      <c r="R13" s="77">
        <v>1827.5</v>
      </c>
    </row>
    <row r="14" spans="1:18" x14ac:dyDescent="0.3">
      <c r="A14" s="31">
        <v>5</v>
      </c>
      <c r="B14" s="34">
        <v>3.04</v>
      </c>
      <c r="C14" s="28">
        <v>6.1</v>
      </c>
      <c r="D14" s="35">
        <v>6.17</v>
      </c>
      <c r="E14" s="36">
        <v>6.34</v>
      </c>
      <c r="F14" s="37">
        <v>6.29</v>
      </c>
      <c r="G14" s="38">
        <v>6.27</v>
      </c>
      <c r="H14" s="29">
        <v>7.17</v>
      </c>
      <c r="I14" s="39">
        <v>7.23</v>
      </c>
      <c r="J14" s="42">
        <v>6.43</v>
      </c>
      <c r="L14" s="77">
        <v>415</v>
      </c>
      <c r="O14" s="76">
        <v>438.3</v>
      </c>
      <c r="R14" s="77">
        <v>1219</v>
      </c>
    </row>
    <row r="15" spans="1:18" x14ac:dyDescent="0.3">
      <c r="A15" s="32">
        <v>6</v>
      </c>
      <c r="B15" s="34">
        <v>1.43</v>
      </c>
      <c r="C15" s="28">
        <v>6.49</v>
      </c>
      <c r="D15" s="35">
        <v>6.65</v>
      </c>
      <c r="E15" s="36">
        <v>6.63</v>
      </c>
      <c r="F15" s="37">
        <v>6.54</v>
      </c>
      <c r="G15" s="38">
        <v>5.68</v>
      </c>
      <c r="H15" s="29">
        <v>6.51</v>
      </c>
      <c r="I15" s="39">
        <v>6.32</v>
      </c>
      <c r="J15" s="44">
        <v>5.51</v>
      </c>
      <c r="L15" s="77">
        <v>4.3</v>
      </c>
      <c r="O15" s="76">
        <v>6.9</v>
      </c>
      <c r="R15" s="77">
        <v>319.7</v>
      </c>
    </row>
    <row r="16" spans="1:18" x14ac:dyDescent="0.3">
      <c r="A16" s="32">
        <v>7</v>
      </c>
      <c r="B16" s="34">
        <v>0</v>
      </c>
      <c r="C16" s="28">
        <v>5.54</v>
      </c>
      <c r="D16" s="35">
        <v>5.76</v>
      </c>
      <c r="E16" s="36">
        <v>5.71</v>
      </c>
      <c r="F16" s="37">
        <v>5.76</v>
      </c>
      <c r="G16" s="38">
        <v>4.8899999999999997</v>
      </c>
      <c r="H16" s="29">
        <v>5.88</v>
      </c>
      <c r="I16" s="39">
        <v>5.72</v>
      </c>
      <c r="J16" s="44">
        <v>4.8</v>
      </c>
      <c r="L16">
        <f>AVERAGE(L4:L15)</f>
        <v>1470.55</v>
      </c>
      <c r="O16">
        <f>AVERAGE(O4:O15)</f>
        <v>1488.4833333333333</v>
      </c>
      <c r="R16" s="77">
        <v>7.1</v>
      </c>
    </row>
    <row r="17" spans="1:18" x14ac:dyDescent="0.3">
      <c r="A17" s="33">
        <v>8</v>
      </c>
      <c r="B17" s="34">
        <v>0</v>
      </c>
      <c r="C17" s="28">
        <v>6.33</v>
      </c>
      <c r="D17" s="35">
        <v>6.5</v>
      </c>
      <c r="E17" s="36">
        <v>6.78</v>
      </c>
      <c r="F17" s="37">
        <v>7.12</v>
      </c>
      <c r="G17" s="38">
        <v>5.92</v>
      </c>
      <c r="H17" s="29">
        <v>6.98</v>
      </c>
      <c r="I17" s="39">
        <v>6.89</v>
      </c>
      <c r="J17" s="45">
        <v>4.91</v>
      </c>
    </row>
    <row r="18" spans="1:18" x14ac:dyDescent="0.3">
      <c r="A18" s="33">
        <v>9</v>
      </c>
      <c r="B18" s="34">
        <v>0</v>
      </c>
      <c r="C18" s="28">
        <v>6.15</v>
      </c>
      <c r="D18" s="35">
        <v>6.41</v>
      </c>
      <c r="E18" s="36">
        <v>6.39</v>
      </c>
      <c r="F18" s="37">
        <v>6.49</v>
      </c>
      <c r="G18" s="38">
        <v>5.95</v>
      </c>
      <c r="H18" s="29">
        <v>6.87</v>
      </c>
      <c r="I18" s="39">
        <v>6.88</v>
      </c>
      <c r="J18" s="45">
        <v>5.66</v>
      </c>
      <c r="R18">
        <f>AVERAGE(R4:R16)</f>
        <v>1371.7384615384615</v>
      </c>
    </row>
    <row r="19" spans="1:18" x14ac:dyDescent="0.3">
      <c r="A19" s="33">
        <v>10</v>
      </c>
      <c r="B19" s="34">
        <v>0</v>
      </c>
      <c r="C19" s="28">
        <v>5.09</v>
      </c>
      <c r="D19" s="35">
        <v>5.2</v>
      </c>
      <c r="E19" s="36">
        <v>5.31</v>
      </c>
      <c r="F19" s="37">
        <v>5.41</v>
      </c>
      <c r="G19" s="38">
        <v>3.32</v>
      </c>
      <c r="H19" s="29">
        <v>4.45</v>
      </c>
      <c r="I19" s="39">
        <v>4.32</v>
      </c>
      <c r="J19" s="45">
        <v>4.25</v>
      </c>
    </row>
    <row r="20" spans="1:18" x14ac:dyDescent="0.3">
      <c r="A20" s="33">
        <v>11</v>
      </c>
      <c r="B20" s="34">
        <v>0</v>
      </c>
      <c r="C20" s="28">
        <v>3.59</v>
      </c>
      <c r="D20" s="35">
        <v>3.68</v>
      </c>
      <c r="E20" s="36">
        <v>3.82</v>
      </c>
      <c r="F20" s="37">
        <v>3.87</v>
      </c>
      <c r="G20" s="38">
        <v>3.1</v>
      </c>
      <c r="H20" s="29">
        <v>3.52</v>
      </c>
      <c r="I20" s="39">
        <v>3.51</v>
      </c>
      <c r="J20" s="45">
        <v>4.5199999999999996</v>
      </c>
    </row>
    <row r="21" spans="1:18" x14ac:dyDescent="0.3">
      <c r="A21" s="33">
        <v>12</v>
      </c>
      <c r="B21" s="34">
        <v>0</v>
      </c>
      <c r="C21" s="28">
        <v>4.01</v>
      </c>
      <c r="D21" s="35">
        <v>4.1100000000000003</v>
      </c>
      <c r="E21" s="36">
        <v>4.2</v>
      </c>
      <c r="F21" s="37">
        <v>4.2</v>
      </c>
      <c r="G21" s="38">
        <v>4.0599999999999996</v>
      </c>
      <c r="H21" s="29">
        <v>4.63</v>
      </c>
      <c r="I21" s="39">
        <v>4.5999999999999996</v>
      </c>
      <c r="J21" s="45">
        <v>2.83</v>
      </c>
    </row>
    <row r="22" spans="1:18" x14ac:dyDescent="0.3">
      <c r="A22" s="33">
        <v>13</v>
      </c>
      <c r="B22" s="34">
        <v>0</v>
      </c>
      <c r="C22" s="28">
        <v>4.99</v>
      </c>
      <c r="D22" s="35">
        <v>5.12</v>
      </c>
      <c r="E22" s="36">
        <v>5.19</v>
      </c>
      <c r="F22" s="37">
        <v>5.34</v>
      </c>
      <c r="G22" s="38">
        <v>4.8600000000000003</v>
      </c>
      <c r="H22" s="29">
        <v>5.81</v>
      </c>
      <c r="I22" s="39">
        <v>5.72</v>
      </c>
      <c r="J22" s="45">
        <v>5.35</v>
      </c>
    </row>
    <row r="23" spans="1:18" x14ac:dyDescent="0.3">
      <c r="A23" s="33">
        <v>14</v>
      </c>
      <c r="B23" s="34">
        <v>7.44</v>
      </c>
      <c r="C23" s="28">
        <v>7.42</v>
      </c>
      <c r="D23" s="35">
        <v>7.46</v>
      </c>
      <c r="E23" s="36">
        <v>7.68</v>
      </c>
      <c r="F23" s="37">
        <v>7.69</v>
      </c>
      <c r="G23" s="38">
        <v>6.09</v>
      </c>
      <c r="H23" s="29">
        <v>7.83</v>
      </c>
      <c r="I23" s="39">
        <v>7.74</v>
      </c>
      <c r="J23" s="45">
        <v>5.82</v>
      </c>
    </row>
    <row r="24" spans="1:18" x14ac:dyDescent="0.3">
      <c r="A24" s="33">
        <v>15</v>
      </c>
      <c r="B24" s="34">
        <v>6.39</v>
      </c>
      <c r="C24" s="28">
        <v>7.28</v>
      </c>
      <c r="D24" s="35">
        <v>7.36</v>
      </c>
      <c r="E24" s="36">
        <v>7.51</v>
      </c>
      <c r="F24" s="37">
        <v>7.55</v>
      </c>
      <c r="G24" s="38">
        <v>6.46</v>
      </c>
      <c r="H24" s="29">
        <v>7.53</v>
      </c>
      <c r="I24" s="39">
        <v>7.57</v>
      </c>
      <c r="J24" s="45">
        <v>6.83</v>
      </c>
    </row>
    <row r="25" spans="1:18" x14ac:dyDescent="0.3">
      <c r="A25" s="33">
        <v>16</v>
      </c>
      <c r="B25" s="34">
        <v>5.3</v>
      </c>
      <c r="C25" s="28">
        <v>6.97</v>
      </c>
      <c r="D25" s="35">
        <v>7.04</v>
      </c>
      <c r="E25" s="36">
        <v>7.2</v>
      </c>
      <c r="F25" s="37">
        <v>7.24</v>
      </c>
      <c r="G25" s="38">
        <v>6.32</v>
      </c>
      <c r="H25" s="29">
        <v>7.2</v>
      </c>
      <c r="I25" s="39">
        <v>7.15</v>
      </c>
      <c r="J25" s="45">
        <v>6.72</v>
      </c>
    </row>
    <row r="26" spans="1:18" x14ac:dyDescent="0.3">
      <c r="A26" s="33">
        <v>17</v>
      </c>
      <c r="B26" s="34">
        <v>5.42</v>
      </c>
      <c r="C26" s="28">
        <v>5.53</v>
      </c>
      <c r="D26" s="35">
        <v>5.62</v>
      </c>
      <c r="E26" s="36">
        <v>5.78</v>
      </c>
      <c r="F26" s="37">
        <v>5.66</v>
      </c>
      <c r="G26" s="38">
        <v>5.34</v>
      </c>
      <c r="H26" s="29">
        <v>6.55</v>
      </c>
      <c r="I26" s="39">
        <v>6.44</v>
      </c>
      <c r="J26" s="45">
        <v>3.58</v>
      </c>
    </row>
    <row r="27" spans="1:18" x14ac:dyDescent="0.3">
      <c r="A27" s="33">
        <v>18</v>
      </c>
      <c r="B27" s="34">
        <v>5.68</v>
      </c>
      <c r="C27" s="28">
        <v>6.55</v>
      </c>
      <c r="D27" s="35">
        <v>6.67</v>
      </c>
      <c r="E27" s="36">
        <v>6.8</v>
      </c>
      <c r="F27" s="37">
        <v>6.78</v>
      </c>
      <c r="G27" s="38">
        <v>6.43</v>
      </c>
      <c r="H27" s="29">
        <v>7.33</v>
      </c>
      <c r="I27" s="39">
        <v>7.35</v>
      </c>
      <c r="J27" s="45">
        <v>5.52</v>
      </c>
    </row>
    <row r="28" spans="1:18" x14ac:dyDescent="0.3">
      <c r="A28" s="33">
        <v>19</v>
      </c>
      <c r="B28" s="34">
        <v>5.29</v>
      </c>
      <c r="C28" s="28">
        <v>6.95</v>
      </c>
      <c r="D28" s="35">
        <v>7.12</v>
      </c>
      <c r="E28" s="36">
        <v>7.27</v>
      </c>
      <c r="F28" s="37">
        <v>7.36</v>
      </c>
      <c r="G28" s="38">
        <v>6.73</v>
      </c>
      <c r="H28" s="29">
        <v>7.76</v>
      </c>
      <c r="I28" s="39">
        <v>7.68</v>
      </c>
      <c r="J28" s="45">
        <v>6.91</v>
      </c>
    </row>
    <row r="29" spans="1:18" x14ac:dyDescent="0.3">
      <c r="A29" s="33">
        <v>20</v>
      </c>
      <c r="B29" s="34">
        <v>3.08</v>
      </c>
      <c r="C29" s="28">
        <v>6.24</v>
      </c>
      <c r="D29" s="35">
        <v>6.36</v>
      </c>
      <c r="E29" s="36">
        <v>6.35</v>
      </c>
      <c r="F29" s="37">
        <v>6.26</v>
      </c>
      <c r="G29" s="38">
        <v>5.5</v>
      </c>
      <c r="H29" s="29">
        <v>6.18</v>
      </c>
      <c r="I29" s="39">
        <v>6.09</v>
      </c>
      <c r="J29" s="45">
        <v>5.25</v>
      </c>
    </row>
    <row r="30" spans="1:18" x14ac:dyDescent="0.3">
      <c r="A30" s="33">
        <v>21</v>
      </c>
      <c r="B30" s="34">
        <v>5.82</v>
      </c>
      <c r="C30" s="28">
        <v>6.73</v>
      </c>
      <c r="D30" s="35">
        <v>6.93</v>
      </c>
      <c r="E30" s="36">
        <v>7.07</v>
      </c>
      <c r="F30" s="37">
        <v>7.06</v>
      </c>
      <c r="G30" s="38">
        <v>6.34</v>
      </c>
      <c r="H30" s="29">
        <v>7.28</v>
      </c>
      <c r="I30" s="39">
        <v>7.27</v>
      </c>
      <c r="J30" s="45">
        <v>6.23</v>
      </c>
    </row>
    <row r="31" spans="1:18" x14ac:dyDescent="0.3">
      <c r="A31" s="33">
        <v>22</v>
      </c>
      <c r="B31" s="34">
        <v>4.3499999999999996</v>
      </c>
      <c r="C31" s="28">
        <v>6.97</v>
      </c>
      <c r="D31" s="35">
        <v>7.08</v>
      </c>
      <c r="E31" s="36">
        <v>7.21</v>
      </c>
      <c r="F31" s="37">
        <v>7.22</v>
      </c>
      <c r="G31" s="38">
        <v>6.13</v>
      </c>
      <c r="H31" s="29">
        <v>7.1</v>
      </c>
      <c r="I31" s="39">
        <v>7.07</v>
      </c>
      <c r="J31" s="45">
        <v>5.53</v>
      </c>
    </row>
    <row r="32" spans="1:18" x14ac:dyDescent="0.3">
      <c r="A32" s="33">
        <v>23</v>
      </c>
      <c r="B32" s="34">
        <v>5.92</v>
      </c>
      <c r="C32" s="28">
        <v>6</v>
      </c>
      <c r="D32" s="35">
        <v>6</v>
      </c>
      <c r="E32" s="36">
        <v>6.36</v>
      </c>
      <c r="F32" s="37">
        <v>6.45</v>
      </c>
      <c r="G32" s="38">
        <v>5.78</v>
      </c>
      <c r="H32" s="29">
        <v>6.58</v>
      </c>
      <c r="I32" s="39">
        <v>6.6</v>
      </c>
      <c r="J32" s="45">
        <v>5.24</v>
      </c>
    </row>
    <row r="33" spans="1:23" x14ac:dyDescent="0.3">
      <c r="A33" s="33">
        <v>24</v>
      </c>
      <c r="B33" s="34">
        <v>6.45</v>
      </c>
      <c r="C33" s="28">
        <v>6.01</v>
      </c>
      <c r="D33" s="35">
        <v>6.56</v>
      </c>
      <c r="E33" s="36">
        <v>6.5</v>
      </c>
      <c r="F33" s="37">
        <v>6.66</v>
      </c>
      <c r="G33" s="38">
        <v>6.43</v>
      </c>
      <c r="H33" s="29">
        <v>7.33</v>
      </c>
      <c r="I33" s="39">
        <v>7.38</v>
      </c>
      <c r="J33" s="45">
        <v>6.08</v>
      </c>
    </row>
    <row r="34" spans="1:23" x14ac:dyDescent="0.3">
      <c r="A34" s="33">
        <v>25</v>
      </c>
      <c r="B34" s="34">
        <v>2.29</v>
      </c>
      <c r="C34" s="28">
        <v>6.11</v>
      </c>
      <c r="D34" s="35">
        <v>6.21</v>
      </c>
      <c r="E34" s="36">
        <v>6.37</v>
      </c>
      <c r="F34" s="37">
        <v>6.45</v>
      </c>
      <c r="G34" s="38">
        <v>5.88</v>
      </c>
      <c r="H34" s="29">
        <v>6.8</v>
      </c>
      <c r="I34" s="39">
        <v>6.82</v>
      </c>
      <c r="J34" s="45">
        <v>5.85</v>
      </c>
    </row>
    <row r="35" spans="1:23" x14ac:dyDescent="0.3">
      <c r="A35" s="33">
        <v>26</v>
      </c>
      <c r="B35" s="34">
        <v>4.9800000000000004</v>
      </c>
      <c r="C35" s="28">
        <v>6.98</v>
      </c>
      <c r="D35" s="35">
        <v>7.26</v>
      </c>
      <c r="E35" s="36">
        <v>7.27</v>
      </c>
      <c r="F35" s="37">
        <v>7.31</v>
      </c>
      <c r="G35" s="38">
        <v>6.82</v>
      </c>
      <c r="H35" s="29">
        <v>7.82</v>
      </c>
      <c r="I35" s="39">
        <v>7.8</v>
      </c>
      <c r="J35" s="45">
        <v>5.57</v>
      </c>
    </row>
    <row r="36" spans="1:23" x14ac:dyDescent="0.3">
      <c r="A36" s="33">
        <v>27</v>
      </c>
      <c r="B36" s="34">
        <v>6.96</v>
      </c>
      <c r="C36" s="28">
        <v>7.02</v>
      </c>
      <c r="D36" s="35">
        <v>7.09</v>
      </c>
      <c r="E36" s="36">
        <v>7.41</v>
      </c>
      <c r="F36" s="37">
        <v>7.52</v>
      </c>
      <c r="G36" s="38">
        <v>6.32</v>
      </c>
      <c r="H36" s="29">
        <v>7.39</v>
      </c>
      <c r="I36" s="39">
        <v>7.38</v>
      </c>
      <c r="J36" s="45">
        <v>6.48</v>
      </c>
    </row>
    <row r="37" spans="1:23" x14ac:dyDescent="0.3">
      <c r="A37" s="33">
        <v>28</v>
      </c>
      <c r="B37" s="34">
        <v>4.28</v>
      </c>
      <c r="C37" s="28">
        <v>6.87</v>
      </c>
      <c r="D37" s="35">
        <v>6.94</v>
      </c>
      <c r="E37" s="36">
        <v>6.96</v>
      </c>
      <c r="F37" s="37">
        <v>6.87</v>
      </c>
      <c r="G37" s="38">
        <v>6.3</v>
      </c>
      <c r="H37" s="29">
        <v>7.21</v>
      </c>
      <c r="I37" s="39">
        <v>7.2</v>
      </c>
      <c r="J37" s="45">
        <v>3.66</v>
      </c>
    </row>
    <row r="38" spans="1:23" x14ac:dyDescent="0.3">
      <c r="A38" s="33">
        <v>29</v>
      </c>
      <c r="B38" s="34">
        <v>3.65</v>
      </c>
      <c r="C38" s="28">
        <v>5.92</v>
      </c>
      <c r="D38" s="35">
        <v>5.91</v>
      </c>
      <c r="E38" s="36">
        <v>6.19</v>
      </c>
      <c r="F38" s="37">
        <v>6.05</v>
      </c>
      <c r="G38" s="38">
        <v>5.42</v>
      </c>
      <c r="H38" s="29">
        <v>6.23</v>
      </c>
      <c r="I38" s="39">
        <v>6.16</v>
      </c>
      <c r="J38" s="45">
        <v>4.5199999999999996</v>
      </c>
    </row>
    <row r="39" spans="1:23" x14ac:dyDescent="0.3">
      <c r="A39" s="33">
        <v>30</v>
      </c>
      <c r="B39" s="34">
        <v>5.31</v>
      </c>
      <c r="C39" s="28">
        <v>7</v>
      </c>
      <c r="D39" s="35">
        <v>7.24</v>
      </c>
      <c r="E39" s="36">
        <v>7.29</v>
      </c>
      <c r="F39" s="37">
        <v>7.27</v>
      </c>
      <c r="G39" s="38">
        <v>6.49</v>
      </c>
      <c r="H39" s="29">
        <v>7.36</v>
      </c>
      <c r="I39" s="39">
        <v>7.3</v>
      </c>
      <c r="J39" s="45">
        <v>7.3</v>
      </c>
    </row>
    <row r="40" spans="1:23" x14ac:dyDescent="0.3">
      <c r="A40" s="33">
        <v>1</v>
      </c>
      <c r="B40" s="34">
        <v>2.12</v>
      </c>
      <c r="C40" s="28">
        <v>5.5</v>
      </c>
      <c r="D40" s="35">
        <v>5.65</v>
      </c>
      <c r="E40" s="36">
        <v>5.87</v>
      </c>
      <c r="F40" s="37">
        <v>6.14</v>
      </c>
      <c r="G40" s="38">
        <v>5.27</v>
      </c>
      <c r="H40" s="29">
        <v>6.2</v>
      </c>
      <c r="I40" s="39">
        <v>6.13</v>
      </c>
      <c r="J40" s="45">
        <v>6.13</v>
      </c>
    </row>
    <row r="41" spans="1:23" x14ac:dyDescent="0.3">
      <c r="A41" s="33">
        <v>2</v>
      </c>
      <c r="B41" s="34">
        <v>4.1500000000000004</v>
      </c>
      <c r="C41" s="28">
        <v>5.52</v>
      </c>
      <c r="D41" s="35">
        <v>5.58</v>
      </c>
      <c r="E41" s="36">
        <v>6.06</v>
      </c>
      <c r="F41" s="37">
        <v>6.4</v>
      </c>
      <c r="G41" s="38">
        <v>5.28</v>
      </c>
      <c r="H41" s="29">
        <v>6.15</v>
      </c>
      <c r="I41" s="39">
        <v>6.38</v>
      </c>
      <c r="J41" s="45">
        <v>6.38</v>
      </c>
    </row>
    <row r="42" spans="1:23" x14ac:dyDescent="0.3">
      <c r="A42" s="33">
        <v>3</v>
      </c>
      <c r="B42" s="34">
        <v>2.88</v>
      </c>
      <c r="C42" s="28">
        <v>5.75</v>
      </c>
      <c r="D42" s="35">
        <v>5.88</v>
      </c>
      <c r="E42" s="36">
        <v>5.91</v>
      </c>
      <c r="F42" s="37">
        <v>5.92</v>
      </c>
      <c r="G42" s="38">
        <v>5</v>
      </c>
      <c r="H42" s="29">
        <v>5.73</v>
      </c>
      <c r="I42" s="39">
        <v>5.65</v>
      </c>
      <c r="J42" s="45">
        <v>5.65</v>
      </c>
    </row>
    <row r="43" spans="1:23" x14ac:dyDescent="0.3">
      <c r="A43" s="33">
        <v>4</v>
      </c>
      <c r="B43" s="34">
        <v>1.07</v>
      </c>
      <c r="C43" s="28">
        <v>2.85</v>
      </c>
      <c r="D43" s="35">
        <v>2.95</v>
      </c>
      <c r="E43" s="36">
        <v>2.97</v>
      </c>
      <c r="F43" s="37">
        <v>3</v>
      </c>
      <c r="G43" s="38">
        <v>2.78</v>
      </c>
      <c r="H43" s="29">
        <v>3.2</v>
      </c>
      <c r="I43" s="39">
        <v>3.18</v>
      </c>
      <c r="J43" s="45">
        <v>3.58</v>
      </c>
    </row>
    <row r="44" spans="1:23" x14ac:dyDescent="0.3">
      <c r="A44" s="33">
        <v>5</v>
      </c>
      <c r="B44" s="34">
        <v>5.97</v>
      </c>
      <c r="C44" s="28">
        <v>6.79</v>
      </c>
      <c r="D44" s="35">
        <v>6.93</v>
      </c>
      <c r="E44" s="36">
        <v>7.11</v>
      </c>
      <c r="F44" s="37">
        <v>7.19</v>
      </c>
      <c r="G44" s="38">
        <v>6.11</v>
      </c>
      <c r="H44" s="29">
        <v>7.02</v>
      </c>
      <c r="I44" s="39">
        <v>6.95</v>
      </c>
      <c r="J44" s="45">
        <v>5.04</v>
      </c>
    </row>
    <row r="45" spans="1:23" x14ac:dyDescent="0.3">
      <c r="A45" s="33">
        <v>6</v>
      </c>
      <c r="B45" s="34">
        <v>5.6959</v>
      </c>
      <c r="C45" s="28">
        <v>5.1779999999999999</v>
      </c>
      <c r="D45" s="35">
        <v>5.2649000000000008</v>
      </c>
      <c r="E45" s="36">
        <v>5.3843000000000005</v>
      </c>
      <c r="F45" s="37">
        <v>5.3422000000000001</v>
      </c>
      <c r="G45" s="38">
        <v>5.7187000000000001</v>
      </c>
      <c r="H45" s="29">
        <v>5.3609999999999998</v>
      </c>
      <c r="I45" s="39">
        <v>5.4037999999999995</v>
      </c>
      <c r="J45" s="45">
        <v>4.3928000000000003</v>
      </c>
    </row>
    <row r="46" spans="1:23" x14ac:dyDescent="0.3">
      <c r="A46" s="60">
        <v>7</v>
      </c>
      <c r="B46" s="61">
        <v>4.9866000000000001</v>
      </c>
      <c r="C46" s="62">
        <v>4.1478999999999999</v>
      </c>
      <c r="D46" s="63">
        <v>4.2741999999999996</v>
      </c>
      <c r="E46" s="64">
        <v>4.2226000000000008</v>
      </c>
      <c r="F46" s="65">
        <v>4.1932000000000009</v>
      </c>
      <c r="G46" s="66">
        <v>5.2362000000000002</v>
      </c>
      <c r="H46" s="67">
        <v>4.8336999999999994</v>
      </c>
      <c r="I46" s="68">
        <v>4.9046000000000003</v>
      </c>
      <c r="J46" s="69">
        <v>5.5456000000000003</v>
      </c>
    </row>
    <row r="47" spans="1:23" x14ac:dyDescent="0.3">
      <c r="A47" s="16">
        <v>8</v>
      </c>
      <c r="B47" s="74">
        <f>4519.8/1000</f>
        <v>4.5198</v>
      </c>
      <c r="C47" s="62">
        <v>4.6100000000000003</v>
      </c>
      <c r="D47" s="62">
        <v>4.5599999999999996</v>
      </c>
      <c r="E47" s="64">
        <v>4.8099999999999996</v>
      </c>
      <c r="F47" s="64">
        <v>4.83</v>
      </c>
      <c r="G47" s="66">
        <v>4.3099999999999996</v>
      </c>
      <c r="H47" s="66">
        <v>5.29</v>
      </c>
      <c r="I47" s="66">
        <v>5.32</v>
      </c>
      <c r="J47" s="69">
        <v>5.19</v>
      </c>
      <c r="N47">
        <f>SUM(B49:D49)</f>
        <v>20.259070000000001</v>
      </c>
      <c r="W47" t="s">
        <v>26</v>
      </c>
    </row>
    <row r="48" spans="1:23" x14ac:dyDescent="0.3">
      <c r="A48" s="16">
        <v>9</v>
      </c>
      <c r="B48" s="74">
        <f>4568.83/1000</f>
        <v>4.5688300000000002</v>
      </c>
      <c r="C48" s="62">
        <v>4.59</v>
      </c>
      <c r="D48" s="62">
        <v>4.78</v>
      </c>
      <c r="E48" s="64">
        <v>4.6900000000000004</v>
      </c>
      <c r="F48" s="64">
        <v>4.6100000000000003</v>
      </c>
      <c r="G48" s="66">
        <v>5.1100000000000003</v>
      </c>
      <c r="H48" s="66">
        <v>5.79</v>
      </c>
      <c r="I48" s="66">
        <v>5.85</v>
      </c>
      <c r="J48" s="69">
        <v>5.34</v>
      </c>
    </row>
    <row r="49" spans="1:17" x14ac:dyDescent="0.3">
      <c r="A49" s="16">
        <v>10</v>
      </c>
      <c r="B49" s="74">
        <f>6652.37/1000</f>
        <v>6.6523699999999995</v>
      </c>
      <c r="C49" s="62">
        <f>6765.6/1000</f>
        <v>6.7656000000000001</v>
      </c>
      <c r="D49" s="62">
        <v>6.8411</v>
      </c>
      <c r="E49" s="64">
        <v>7.085</v>
      </c>
      <c r="F49" s="64">
        <v>7.0872000000000002</v>
      </c>
      <c r="G49" s="66">
        <v>7.0084999999999988</v>
      </c>
      <c r="H49" s="66">
        <v>7.2101999999999995</v>
      </c>
      <c r="I49" s="66">
        <v>7.2557999999999998</v>
      </c>
      <c r="J49" s="69">
        <v>6.0285999999999991</v>
      </c>
      <c r="L49">
        <f>E49/1000</f>
        <v>7.0850000000000002E-3</v>
      </c>
      <c r="M49">
        <f t="shared" ref="M49:Q49" si="0">F49/1000</f>
        <v>7.0872000000000001E-3</v>
      </c>
      <c r="N49">
        <f t="shared" si="0"/>
        <v>7.0084999999999991E-3</v>
      </c>
      <c r="O49">
        <f t="shared" si="0"/>
        <v>7.2101999999999991E-3</v>
      </c>
      <c r="P49">
        <f t="shared" si="0"/>
        <v>7.2557999999999997E-3</v>
      </c>
      <c r="Q49">
        <f t="shared" si="0"/>
        <v>6.0285999999999994E-3</v>
      </c>
    </row>
    <row r="51" spans="1:17" x14ac:dyDescent="0.3">
      <c r="B51" s="73">
        <f>SUM(B43:B49)</f>
        <v>33.463499999999996</v>
      </c>
      <c r="C51" s="73">
        <f t="shared" ref="C51:J51" si="1">SUM(SUM(C43:C49))</f>
        <v>34.9315</v>
      </c>
      <c r="D51" s="73">
        <f t="shared" si="1"/>
        <v>35.600200000000001</v>
      </c>
      <c r="E51" s="73">
        <f t="shared" si="1"/>
        <v>36.271900000000002</v>
      </c>
      <c r="F51" s="73">
        <f t="shared" si="1"/>
        <v>36.252600000000001</v>
      </c>
      <c r="G51" s="73">
        <f t="shared" si="1"/>
        <v>36.273400000000002</v>
      </c>
      <c r="H51" s="73">
        <f t="shared" si="1"/>
        <v>38.704899999999995</v>
      </c>
      <c r="I51" s="73">
        <f t="shared" si="1"/>
        <v>38.864200000000004</v>
      </c>
      <c r="J51" s="73">
        <f t="shared" si="1"/>
        <v>35.117000000000004</v>
      </c>
    </row>
    <row r="53" spans="1:17" x14ac:dyDescent="0.3">
      <c r="A53" s="75" t="s">
        <v>23</v>
      </c>
      <c r="B53">
        <f>SUM(B20:B49)</f>
        <v>131.2235</v>
      </c>
      <c r="C53">
        <f t="shared" ref="C53:J53" si="2">SUM(C20:C49)</f>
        <v>176.84150000000002</v>
      </c>
      <c r="D53">
        <f t="shared" si="2"/>
        <v>180.47020000000003</v>
      </c>
      <c r="E53">
        <f t="shared" si="2"/>
        <v>184.5419</v>
      </c>
      <c r="F53">
        <f t="shared" si="2"/>
        <v>185.52259999999998</v>
      </c>
      <c r="G53">
        <f t="shared" si="2"/>
        <v>168.6234</v>
      </c>
      <c r="H53">
        <f t="shared" si="2"/>
        <v>192.22489999999993</v>
      </c>
      <c r="I53">
        <f t="shared" si="2"/>
        <v>191.85419999999993</v>
      </c>
      <c r="J53">
        <f t="shared" si="2"/>
        <v>163.06699999999998</v>
      </c>
    </row>
    <row r="55" spans="1:17" x14ac:dyDescent="0.3">
      <c r="A55" t="s">
        <v>27</v>
      </c>
      <c r="B55">
        <f>SUM(B53:D53)</f>
        <v>488.53520000000009</v>
      </c>
      <c r="H55" s="75"/>
    </row>
    <row r="56" spans="1:17" x14ac:dyDescent="0.3">
      <c r="A56" t="s">
        <v>35</v>
      </c>
      <c r="B56">
        <f>SUM(E53:F53)</f>
        <v>370.06449999999995</v>
      </c>
      <c r="H56" s="75"/>
    </row>
    <row r="57" spans="1:17" x14ac:dyDescent="0.3">
      <c r="H57" s="75"/>
    </row>
    <row r="58" spans="1:17" x14ac:dyDescent="0.3">
      <c r="A58" t="s">
        <v>20</v>
      </c>
      <c r="B58">
        <f>SUM(G53:I53)</f>
        <v>552.70249999999987</v>
      </c>
      <c r="F58" s="75">
        <f>SUM(B49:D49)</f>
        <v>20.259070000000001</v>
      </c>
    </row>
    <row r="59" spans="1:17" x14ac:dyDescent="0.3">
      <c r="F59">
        <f>SUM(E49:F49)</f>
        <v>14.1722</v>
      </c>
    </row>
    <row r="60" spans="1:17" x14ac:dyDescent="0.3">
      <c r="A60" t="s">
        <v>38</v>
      </c>
      <c r="B60">
        <f>J53</f>
        <v>163.06699999999998</v>
      </c>
      <c r="F60">
        <f>SUM(G49:I49)</f>
        <v>21.474499999999999</v>
      </c>
    </row>
    <row r="61" spans="1:17" x14ac:dyDescent="0.3">
      <c r="F61">
        <f>SUM(J49)</f>
        <v>6.0285999999999991</v>
      </c>
    </row>
    <row r="68" spans="1:16" x14ac:dyDescent="0.3">
      <c r="A68" t="s">
        <v>37</v>
      </c>
      <c r="B68" s="75">
        <f>SUM(B51:D51)</f>
        <v>103.9952</v>
      </c>
    </row>
    <row r="69" spans="1:16" x14ac:dyDescent="0.3">
      <c r="A69" t="s">
        <v>3</v>
      </c>
      <c r="B69" s="75">
        <f>SUM(E51:F51)</f>
        <v>72.524500000000003</v>
      </c>
    </row>
    <row r="70" spans="1:16" x14ac:dyDescent="0.3">
      <c r="P70" s="30"/>
    </row>
    <row r="72" spans="1:16" x14ac:dyDescent="0.3">
      <c r="A72" t="s">
        <v>20</v>
      </c>
      <c r="B72" s="75">
        <f>SUM(G51:I51)</f>
        <v>113.8425</v>
      </c>
      <c r="C72" s="1" t="s">
        <v>29</v>
      </c>
      <c r="D72" s="1"/>
      <c r="E72" s="1" t="s">
        <v>31</v>
      </c>
      <c r="F72" s="1"/>
      <c r="G72" s="116" t="s">
        <v>33</v>
      </c>
      <c r="H72" s="116"/>
      <c r="J72" t="s">
        <v>40</v>
      </c>
    </row>
    <row r="74" spans="1:16" x14ac:dyDescent="0.3">
      <c r="A74" t="s">
        <v>24</v>
      </c>
      <c r="B74" s="75">
        <f>J51</f>
        <v>35.117000000000004</v>
      </c>
      <c r="C74" s="2" t="s">
        <v>30</v>
      </c>
      <c r="E74" s="2" t="s">
        <v>32</v>
      </c>
      <c r="G74" s="2" t="s">
        <v>32</v>
      </c>
    </row>
    <row r="75" spans="1:16" x14ac:dyDescent="0.3">
      <c r="C75" s="2">
        <v>78.099999999999994</v>
      </c>
      <c r="E75" s="2">
        <v>2.2999999999999998</v>
      </c>
      <c r="G75" s="2">
        <v>0.6</v>
      </c>
    </row>
    <row r="76" spans="1:16" x14ac:dyDescent="0.3">
      <c r="C76" s="2">
        <v>344.4</v>
      </c>
      <c r="E76" s="2">
        <v>265.3</v>
      </c>
      <c r="G76" s="2">
        <v>70.599999999999994</v>
      </c>
    </row>
    <row r="77" spans="1:16" x14ac:dyDescent="0.3">
      <c r="C77" s="2">
        <v>647.9</v>
      </c>
      <c r="E77" s="2">
        <v>1048.4000000000001</v>
      </c>
      <c r="G77" s="2">
        <v>305.89999999999998</v>
      </c>
    </row>
    <row r="78" spans="1:16" x14ac:dyDescent="0.3">
      <c r="C78" s="2">
        <v>1095.5999999999999</v>
      </c>
      <c r="E78" s="2">
        <v>1736.4</v>
      </c>
      <c r="G78" s="2">
        <v>628.6</v>
      </c>
    </row>
    <row r="79" spans="1:16" x14ac:dyDescent="0.3">
      <c r="C79" s="2">
        <v>1023.2</v>
      </c>
      <c r="E79" s="2">
        <v>1307.8</v>
      </c>
      <c r="G79" s="2">
        <v>1068</v>
      </c>
    </row>
    <row r="80" spans="1:16" x14ac:dyDescent="0.3">
      <c r="C80" s="2">
        <v>2151.6</v>
      </c>
      <c r="E80" s="2">
        <v>1770.7</v>
      </c>
      <c r="G80" s="2">
        <v>2232.6999999999998</v>
      </c>
    </row>
    <row r="81" spans="3:16" x14ac:dyDescent="0.3">
      <c r="C81" s="2">
        <v>2087.5</v>
      </c>
      <c r="E81" s="2">
        <v>2614.9</v>
      </c>
      <c r="G81" s="2">
        <v>1570.9</v>
      </c>
    </row>
    <row r="82" spans="3:16" x14ac:dyDescent="0.3">
      <c r="C82" s="2">
        <v>1899.9</v>
      </c>
      <c r="E82" s="2">
        <v>2534.1999999999998</v>
      </c>
      <c r="G82" s="2">
        <v>698.4</v>
      </c>
    </row>
    <row r="83" spans="3:16" x14ac:dyDescent="0.3">
      <c r="C83" s="2">
        <v>519.4</v>
      </c>
      <c r="E83" s="2">
        <v>2313.8000000000002</v>
      </c>
      <c r="G83" s="2">
        <v>928.3</v>
      </c>
    </row>
    <row r="84" spans="3:16" x14ac:dyDescent="0.3">
      <c r="C84" s="2">
        <v>710.5</v>
      </c>
      <c r="E84" s="2">
        <v>1844.8</v>
      </c>
      <c r="G84" s="2">
        <v>427.5</v>
      </c>
      <c r="P84" s="4"/>
    </row>
    <row r="85" spans="3:16" x14ac:dyDescent="0.3">
      <c r="C85" s="2">
        <v>165.2</v>
      </c>
      <c r="E85" s="2">
        <v>1327</v>
      </c>
      <c r="G85" s="2">
        <v>2.7</v>
      </c>
      <c r="P85" s="4"/>
    </row>
    <row r="86" spans="3:16" x14ac:dyDescent="0.3">
      <c r="C86" s="2">
        <v>4.3</v>
      </c>
      <c r="E86" s="2">
        <v>445.5</v>
      </c>
    </row>
    <row r="87" spans="3:16" x14ac:dyDescent="0.3">
      <c r="E87" s="2">
        <v>11.5</v>
      </c>
    </row>
    <row r="125" spans="8:8" x14ac:dyDescent="0.3">
      <c r="H125" s="4"/>
    </row>
  </sheetData>
  <mergeCells count="5">
    <mergeCell ref="B1:D1"/>
    <mergeCell ref="E1:F1"/>
    <mergeCell ref="G1:I1"/>
    <mergeCell ref="G72:H72"/>
    <mergeCell ref="O2:P2"/>
  </mergeCells>
  <phoneticPr fontId="3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4E197-0B5E-43E7-97CB-E2745BC793C6}">
  <dimension ref="A1:Q26"/>
  <sheetViews>
    <sheetView workbookViewId="0">
      <selection activeCell="D19" sqref="D19"/>
    </sheetView>
  </sheetViews>
  <sheetFormatPr defaultRowHeight="14.4" x14ac:dyDescent="0.3"/>
  <cols>
    <col min="1" max="1" width="11.44140625" customWidth="1"/>
    <col min="2" max="2" width="11.109375" customWidth="1"/>
    <col min="3" max="18" width="8.88671875" customWidth="1"/>
  </cols>
  <sheetData>
    <row r="1" spans="1:17" x14ac:dyDescent="0.3">
      <c r="A1" t="s">
        <v>50</v>
      </c>
      <c r="B1" t="s">
        <v>48</v>
      </c>
      <c r="C1" t="s">
        <v>51</v>
      </c>
    </row>
    <row r="2" spans="1:17" x14ac:dyDescent="0.3">
      <c r="A2" s="78">
        <v>46082</v>
      </c>
      <c r="B2" t="s">
        <v>53</v>
      </c>
      <c r="C2">
        <v>541.29999999999995</v>
      </c>
    </row>
    <row r="3" spans="1:17" x14ac:dyDescent="0.3">
      <c r="A3" s="78">
        <v>46082</v>
      </c>
      <c r="B3" t="s">
        <v>54</v>
      </c>
      <c r="C3">
        <v>374.25</v>
      </c>
    </row>
    <row r="4" spans="1:17" x14ac:dyDescent="0.3">
      <c r="A4" s="78">
        <v>46082</v>
      </c>
      <c r="B4" t="s">
        <v>52</v>
      </c>
      <c r="C4">
        <v>563.75</v>
      </c>
    </row>
    <row r="5" spans="1:17" x14ac:dyDescent="0.3">
      <c r="A5" s="78">
        <v>46082</v>
      </c>
      <c r="B5" s="80" t="s">
        <v>11</v>
      </c>
      <c r="C5">
        <v>181.21</v>
      </c>
    </row>
    <row r="6" spans="1:17" x14ac:dyDescent="0.3">
      <c r="A6" s="78">
        <v>46113</v>
      </c>
      <c r="B6" t="s">
        <v>53</v>
      </c>
      <c r="C6">
        <v>481.37</v>
      </c>
    </row>
    <row r="7" spans="1:17" x14ac:dyDescent="0.3">
      <c r="A7" s="78">
        <v>46113</v>
      </c>
      <c r="B7" t="s">
        <v>54</v>
      </c>
      <c r="C7">
        <v>336.14</v>
      </c>
    </row>
    <row r="8" spans="1:17" x14ac:dyDescent="0.3">
      <c r="A8" s="78">
        <v>46113</v>
      </c>
      <c r="B8" t="s">
        <v>52</v>
      </c>
      <c r="C8">
        <v>503.72</v>
      </c>
      <c r="H8" s="79"/>
      <c r="I8" s="79"/>
      <c r="J8" s="79"/>
      <c r="L8" s="79"/>
      <c r="M8" s="79"/>
      <c r="N8" s="79"/>
      <c r="Q8" s="79"/>
    </row>
    <row r="9" spans="1:17" x14ac:dyDescent="0.3">
      <c r="A9" s="78">
        <v>46113</v>
      </c>
      <c r="B9" s="80" t="s">
        <v>11</v>
      </c>
      <c r="C9">
        <v>158.58000000000001</v>
      </c>
      <c r="H9" s="79"/>
      <c r="I9" s="79"/>
      <c r="J9" s="79"/>
      <c r="M9" s="79"/>
      <c r="N9" s="79"/>
      <c r="Q9" s="79"/>
    </row>
    <row r="10" spans="1:17" x14ac:dyDescent="0.3">
      <c r="A10" s="78">
        <v>46143</v>
      </c>
      <c r="B10" t="s">
        <v>53</v>
      </c>
      <c r="C10">
        <v>463.89</v>
      </c>
    </row>
    <row r="11" spans="1:17" x14ac:dyDescent="0.3">
      <c r="A11" s="78">
        <v>46143</v>
      </c>
      <c r="B11" t="s">
        <v>54</v>
      </c>
      <c r="C11">
        <v>326.57</v>
      </c>
    </row>
    <row r="12" spans="1:17" x14ac:dyDescent="0.3">
      <c r="A12" s="78">
        <v>46143</v>
      </c>
      <c r="B12" t="s">
        <v>52</v>
      </c>
      <c r="C12">
        <v>491.39</v>
      </c>
      <c r="L12" s="25"/>
    </row>
    <row r="13" spans="1:17" x14ac:dyDescent="0.3">
      <c r="A13" s="78">
        <v>46143</v>
      </c>
      <c r="B13" s="80" t="s">
        <v>11</v>
      </c>
      <c r="C13">
        <v>150.75</v>
      </c>
    </row>
    <row r="14" spans="1:17" x14ac:dyDescent="0.3">
      <c r="A14" s="78">
        <v>46174</v>
      </c>
      <c r="B14" t="s">
        <v>53</v>
      </c>
      <c r="C14" s="96">
        <v>434.22144558000002</v>
      </c>
    </row>
    <row r="15" spans="1:17" x14ac:dyDescent="0.3">
      <c r="A15" s="78">
        <v>46174</v>
      </c>
      <c r="B15" t="s">
        <v>54</v>
      </c>
      <c r="C15" s="96">
        <v>313.62079902000005</v>
      </c>
      <c r="I15" s="25"/>
    </row>
    <row r="16" spans="1:17" x14ac:dyDescent="0.3">
      <c r="A16" s="78">
        <v>46174</v>
      </c>
      <c r="B16" t="s">
        <v>52</v>
      </c>
      <c r="C16" s="96">
        <v>476.78637966000002</v>
      </c>
      <c r="H16" s="79"/>
      <c r="I16" s="79"/>
      <c r="J16" s="79"/>
      <c r="L16" s="79"/>
      <c r="M16" s="79"/>
      <c r="N16" s="79"/>
      <c r="Q16" s="79"/>
    </row>
    <row r="17" spans="1:17" x14ac:dyDescent="0.3">
      <c r="A17" s="78">
        <v>46174</v>
      </c>
      <c r="B17" s="80" t="s">
        <v>11</v>
      </c>
      <c r="C17" s="96">
        <v>145.568133356</v>
      </c>
      <c r="H17" s="79"/>
      <c r="I17" s="79"/>
      <c r="J17" s="79"/>
      <c r="M17" s="79"/>
      <c r="N17" s="79"/>
      <c r="Q17" s="79"/>
    </row>
    <row r="18" spans="1:17" x14ac:dyDescent="0.3">
      <c r="E18" s="25"/>
    </row>
    <row r="25" spans="1:17" x14ac:dyDescent="0.3">
      <c r="H25" s="79"/>
      <c r="I25" s="79"/>
      <c r="J25" s="79"/>
      <c r="L25" s="79"/>
      <c r="M25" s="79"/>
      <c r="N25" s="79"/>
      <c r="Q25" s="79"/>
    </row>
    <row r="26" spans="1:17" x14ac:dyDescent="0.3">
      <c r="H26" s="79"/>
      <c r="I26" s="79"/>
      <c r="J26" s="79"/>
      <c r="M26" s="79"/>
      <c r="N26" s="79"/>
      <c r="Q26" s="79"/>
    </row>
  </sheetData>
  <phoneticPr fontId="3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4199A-B16F-4FEC-BB29-B68EEDB9F482}">
  <dimension ref="A1:G187"/>
  <sheetViews>
    <sheetView topLeftCell="A151" workbookViewId="0">
      <selection activeCell="E177" sqref="E177"/>
    </sheetView>
  </sheetViews>
  <sheetFormatPr defaultColWidth="18.33203125" defaultRowHeight="14.4" x14ac:dyDescent="0.3"/>
  <sheetData>
    <row r="1" spans="1:7" x14ac:dyDescent="0.3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80</v>
      </c>
    </row>
    <row r="2" spans="1:7" x14ac:dyDescent="0.3">
      <c r="A2" s="84" t="s">
        <v>62</v>
      </c>
      <c r="B2" s="84" t="s">
        <v>63</v>
      </c>
      <c r="C2" s="85">
        <v>46143</v>
      </c>
      <c r="D2" s="86">
        <v>16922.91</v>
      </c>
      <c r="E2" s="84" t="s">
        <v>64</v>
      </c>
      <c r="F2" s="84" t="s">
        <v>65</v>
      </c>
      <c r="G2" t="s">
        <v>66</v>
      </c>
    </row>
    <row r="3" spans="1:7" x14ac:dyDescent="0.3">
      <c r="A3" s="84" t="s">
        <v>62</v>
      </c>
      <c r="B3" s="84" t="s">
        <v>63</v>
      </c>
      <c r="C3" s="85">
        <v>46144</v>
      </c>
      <c r="D3" s="86">
        <v>16608.62</v>
      </c>
      <c r="E3" s="84" t="s">
        <v>64</v>
      </c>
      <c r="F3" s="84" t="s">
        <v>65</v>
      </c>
      <c r="G3" t="s">
        <v>66</v>
      </c>
    </row>
    <row r="4" spans="1:7" x14ac:dyDescent="0.3">
      <c r="A4" s="84" t="s">
        <v>62</v>
      </c>
      <c r="B4" s="84" t="s">
        <v>63</v>
      </c>
      <c r="C4" s="85">
        <v>46145</v>
      </c>
      <c r="D4" s="86">
        <v>17074.330000000002</v>
      </c>
      <c r="E4" s="84" t="s">
        <v>64</v>
      </c>
      <c r="F4" s="84" t="s">
        <v>65</v>
      </c>
      <c r="G4" t="s">
        <v>66</v>
      </c>
    </row>
    <row r="5" spans="1:7" x14ac:dyDescent="0.3">
      <c r="A5" s="84" t="s">
        <v>62</v>
      </c>
      <c r="B5" s="84" t="s">
        <v>63</v>
      </c>
      <c r="C5" s="85">
        <v>46146</v>
      </c>
      <c r="D5" s="86">
        <v>21486.28</v>
      </c>
      <c r="E5" s="84" t="s">
        <v>64</v>
      </c>
      <c r="F5" s="84" t="s">
        <v>65</v>
      </c>
      <c r="G5" t="s">
        <v>66</v>
      </c>
    </row>
    <row r="6" spans="1:7" x14ac:dyDescent="0.3">
      <c r="A6" s="84" t="s">
        <v>62</v>
      </c>
      <c r="B6" s="84" t="s">
        <v>63</v>
      </c>
      <c r="C6" s="85">
        <v>46147</v>
      </c>
      <c r="D6" s="86">
        <v>19693.48</v>
      </c>
      <c r="E6" s="84" t="s">
        <v>64</v>
      </c>
      <c r="F6" s="84" t="s">
        <v>65</v>
      </c>
      <c r="G6" t="s">
        <v>66</v>
      </c>
    </row>
    <row r="7" spans="1:7" x14ac:dyDescent="0.3">
      <c r="A7" s="84" t="s">
        <v>62</v>
      </c>
      <c r="B7" s="84" t="s">
        <v>63</v>
      </c>
      <c r="C7" s="85">
        <v>46148</v>
      </c>
      <c r="D7" s="86">
        <v>17972.32</v>
      </c>
      <c r="E7" s="84" t="s">
        <v>64</v>
      </c>
      <c r="F7" s="84" t="s">
        <v>65</v>
      </c>
      <c r="G7" t="s">
        <v>66</v>
      </c>
    </row>
    <row r="8" spans="1:7" x14ac:dyDescent="0.3">
      <c r="A8" s="84" t="s">
        <v>62</v>
      </c>
      <c r="B8" s="84" t="s">
        <v>63</v>
      </c>
      <c r="C8" s="85">
        <v>46149</v>
      </c>
      <c r="D8" s="86">
        <v>18266.939999999999</v>
      </c>
      <c r="E8" s="84" t="s">
        <v>64</v>
      </c>
      <c r="F8" s="84" t="s">
        <v>65</v>
      </c>
      <c r="G8" t="s">
        <v>66</v>
      </c>
    </row>
    <row r="9" spans="1:7" x14ac:dyDescent="0.3">
      <c r="A9" s="84" t="s">
        <v>62</v>
      </c>
      <c r="B9" s="84" t="s">
        <v>63</v>
      </c>
      <c r="C9" s="85">
        <v>46150</v>
      </c>
      <c r="D9" s="86">
        <v>17541.849999999999</v>
      </c>
      <c r="E9" s="84" t="s">
        <v>64</v>
      </c>
      <c r="F9" s="84" t="s">
        <v>65</v>
      </c>
      <c r="G9" t="s">
        <v>66</v>
      </c>
    </row>
    <row r="10" spans="1:7" x14ac:dyDescent="0.3">
      <c r="A10" s="84" t="s">
        <v>62</v>
      </c>
      <c r="B10" s="84" t="s">
        <v>63</v>
      </c>
      <c r="C10" s="85">
        <v>46151</v>
      </c>
      <c r="D10" s="86">
        <v>16556.54</v>
      </c>
      <c r="E10" s="84" t="s">
        <v>64</v>
      </c>
      <c r="F10" s="84" t="s">
        <v>65</v>
      </c>
      <c r="G10" t="s">
        <v>66</v>
      </c>
    </row>
    <row r="11" spans="1:7" x14ac:dyDescent="0.3">
      <c r="A11" s="84" t="s">
        <v>62</v>
      </c>
      <c r="B11" s="84" t="s">
        <v>63</v>
      </c>
      <c r="C11" s="85">
        <v>46152</v>
      </c>
      <c r="D11" s="86">
        <v>16060.6</v>
      </c>
      <c r="E11" s="84" t="s">
        <v>64</v>
      </c>
      <c r="F11" s="84" t="s">
        <v>65</v>
      </c>
      <c r="G11" t="s">
        <v>66</v>
      </c>
    </row>
    <row r="12" spans="1:7" x14ac:dyDescent="0.3">
      <c r="A12" s="84" t="s">
        <v>62</v>
      </c>
      <c r="B12" s="84" t="s">
        <v>63</v>
      </c>
      <c r="C12" s="85">
        <v>46153</v>
      </c>
      <c r="D12" s="86">
        <v>14942.89</v>
      </c>
      <c r="E12" s="84" t="s">
        <v>64</v>
      </c>
      <c r="F12" s="84" t="s">
        <v>65</v>
      </c>
      <c r="G12" t="s">
        <v>66</v>
      </c>
    </row>
    <row r="13" spans="1:7" x14ac:dyDescent="0.3">
      <c r="A13" s="84" t="s">
        <v>62</v>
      </c>
      <c r="B13" s="84" t="s">
        <v>63</v>
      </c>
      <c r="C13" s="85">
        <v>46154</v>
      </c>
      <c r="D13" s="86">
        <v>17181.38</v>
      </c>
      <c r="E13" s="84" t="s">
        <v>64</v>
      </c>
      <c r="F13" s="84" t="s">
        <v>65</v>
      </c>
      <c r="G13" t="s">
        <v>66</v>
      </c>
    </row>
    <row r="14" spans="1:7" x14ac:dyDescent="0.3">
      <c r="A14" s="84" t="s">
        <v>62</v>
      </c>
      <c r="B14" s="84" t="s">
        <v>63</v>
      </c>
      <c r="C14" s="85">
        <v>46155</v>
      </c>
      <c r="D14" s="86">
        <v>17316.12</v>
      </c>
      <c r="E14" s="84" t="s">
        <v>64</v>
      </c>
      <c r="F14" s="84" t="s">
        <v>65</v>
      </c>
      <c r="G14" t="s">
        <v>66</v>
      </c>
    </row>
    <row r="15" spans="1:7" x14ac:dyDescent="0.3">
      <c r="A15" s="84" t="s">
        <v>62</v>
      </c>
      <c r="B15" s="84" t="s">
        <v>63</v>
      </c>
      <c r="C15" s="85">
        <v>46156</v>
      </c>
      <c r="D15" s="86">
        <v>17106.41</v>
      </c>
      <c r="E15" s="84" t="s">
        <v>64</v>
      </c>
      <c r="F15" s="84" t="s">
        <v>65</v>
      </c>
      <c r="G15" t="s">
        <v>66</v>
      </c>
    </row>
    <row r="16" spans="1:7" x14ac:dyDescent="0.3">
      <c r="A16" s="84" t="s">
        <v>62</v>
      </c>
      <c r="B16" s="84" t="s">
        <v>63</v>
      </c>
      <c r="C16" s="85">
        <v>46157</v>
      </c>
      <c r="D16" s="86">
        <v>16862.439999999999</v>
      </c>
      <c r="E16" s="84" t="s">
        <v>64</v>
      </c>
      <c r="F16" s="84" t="s">
        <v>65</v>
      </c>
      <c r="G16" t="s">
        <v>66</v>
      </c>
    </row>
    <row r="17" spans="1:7" x14ac:dyDescent="0.3">
      <c r="A17" s="84" t="s">
        <v>62</v>
      </c>
      <c r="B17" s="84" t="s">
        <v>63</v>
      </c>
      <c r="C17" s="85">
        <v>46158</v>
      </c>
      <c r="D17" s="86">
        <v>16756.169999999998</v>
      </c>
      <c r="E17" s="84" t="s">
        <v>64</v>
      </c>
      <c r="F17" s="84" t="s">
        <v>65</v>
      </c>
      <c r="G17" t="s">
        <v>66</v>
      </c>
    </row>
    <row r="18" spans="1:7" x14ac:dyDescent="0.3">
      <c r="A18" s="84" t="s">
        <v>62</v>
      </c>
      <c r="B18" s="84" t="s">
        <v>63</v>
      </c>
      <c r="C18" s="85">
        <v>46159</v>
      </c>
      <c r="D18" s="86">
        <v>16510.28</v>
      </c>
      <c r="E18" s="84" t="s">
        <v>64</v>
      </c>
      <c r="F18" s="84" t="s">
        <v>65</v>
      </c>
      <c r="G18" t="s">
        <v>66</v>
      </c>
    </row>
    <row r="19" spans="1:7" x14ac:dyDescent="0.3">
      <c r="A19" s="84" t="s">
        <v>62</v>
      </c>
      <c r="B19" s="84" t="s">
        <v>63</v>
      </c>
      <c r="C19" s="85">
        <v>46160</v>
      </c>
      <c r="D19" s="86">
        <v>14624.55</v>
      </c>
      <c r="E19" s="84" t="s">
        <v>64</v>
      </c>
      <c r="F19" s="84" t="s">
        <v>65</v>
      </c>
      <c r="G19" t="s">
        <v>66</v>
      </c>
    </row>
    <row r="20" spans="1:7" x14ac:dyDescent="0.3">
      <c r="A20" s="84" t="s">
        <v>62</v>
      </c>
      <c r="B20" s="84" t="s">
        <v>63</v>
      </c>
      <c r="C20" s="85">
        <v>46161</v>
      </c>
      <c r="D20" s="86">
        <v>16509.2</v>
      </c>
      <c r="E20" s="84" t="s">
        <v>64</v>
      </c>
      <c r="F20" s="84" t="s">
        <v>65</v>
      </c>
      <c r="G20" t="s">
        <v>66</v>
      </c>
    </row>
    <row r="21" spans="1:7" x14ac:dyDescent="0.3">
      <c r="A21" s="84" t="s">
        <v>62</v>
      </c>
      <c r="B21" s="84" t="s">
        <v>63</v>
      </c>
      <c r="C21" s="85">
        <v>46162</v>
      </c>
      <c r="D21" s="86">
        <v>14983.86</v>
      </c>
      <c r="E21" s="84" t="s">
        <v>64</v>
      </c>
      <c r="F21" s="84" t="s">
        <v>65</v>
      </c>
      <c r="G21" t="s">
        <v>66</v>
      </c>
    </row>
    <row r="22" spans="1:7" x14ac:dyDescent="0.3">
      <c r="A22" s="84" t="s">
        <v>62</v>
      </c>
      <c r="B22" s="84" t="s">
        <v>63</v>
      </c>
      <c r="C22" s="85">
        <v>46163</v>
      </c>
      <c r="D22" s="86">
        <v>18743.21</v>
      </c>
      <c r="E22" s="84" t="s">
        <v>64</v>
      </c>
      <c r="F22" s="84" t="s">
        <v>65</v>
      </c>
      <c r="G22" t="s">
        <v>66</v>
      </c>
    </row>
    <row r="23" spans="1:7" x14ac:dyDescent="0.3">
      <c r="A23" s="84" t="s">
        <v>62</v>
      </c>
      <c r="B23" s="84" t="s">
        <v>63</v>
      </c>
      <c r="C23" s="85">
        <v>46164</v>
      </c>
      <c r="D23" s="86">
        <v>26011.25</v>
      </c>
      <c r="E23" s="84" t="s">
        <v>64</v>
      </c>
      <c r="F23" s="84" t="s">
        <v>65</v>
      </c>
      <c r="G23" t="s">
        <v>66</v>
      </c>
    </row>
    <row r="24" spans="1:7" x14ac:dyDescent="0.3">
      <c r="A24" s="84" t="s">
        <v>62</v>
      </c>
      <c r="B24" s="84" t="s">
        <v>63</v>
      </c>
      <c r="C24" s="85">
        <v>46165</v>
      </c>
      <c r="D24" s="86">
        <v>22101.82</v>
      </c>
      <c r="E24" s="84" t="s">
        <v>64</v>
      </c>
      <c r="F24" s="84" t="s">
        <v>65</v>
      </c>
      <c r="G24" t="s">
        <v>66</v>
      </c>
    </row>
    <row r="25" spans="1:7" x14ac:dyDescent="0.3">
      <c r="A25" s="84" t="s">
        <v>62</v>
      </c>
      <c r="B25" s="84" t="s">
        <v>63</v>
      </c>
      <c r="C25" s="85">
        <v>46166</v>
      </c>
      <c r="D25" s="86">
        <v>20815.13</v>
      </c>
      <c r="E25" s="84" t="s">
        <v>64</v>
      </c>
      <c r="F25" s="84" t="s">
        <v>65</v>
      </c>
      <c r="G25" t="s">
        <v>66</v>
      </c>
    </row>
    <row r="26" spans="1:7" x14ac:dyDescent="0.3">
      <c r="A26" s="84" t="s">
        <v>62</v>
      </c>
      <c r="B26" s="84" t="s">
        <v>63</v>
      </c>
      <c r="C26" s="85">
        <v>46167</v>
      </c>
      <c r="D26" s="86">
        <v>18123.02</v>
      </c>
      <c r="E26" s="84" t="s">
        <v>64</v>
      </c>
      <c r="F26" s="84" t="s">
        <v>65</v>
      </c>
      <c r="G26" t="s">
        <v>66</v>
      </c>
    </row>
    <row r="27" spans="1:7" x14ac:dyDescent="0.3">
      <c r="A27" s="84" t="s">
        <v>62</v>
      </c>
      <c r="B27" s="84" t="s">
        <v>63</v>
      </c>
      <c r="C27" s="85">
        <v>46168</v>
      </c>
      <c r="D27" s="86">
        <v>17995.900000000001</v>
      </c>
      <c r="E27" s="84" t="s">
        <v>64</v>
      </c>
      <c r="F27" s="84" t="s">
        <v>65</v>
      </c>
      <c r="G27" t="s">
        <v>66</v>
      </c>
    </row>
    <row r="28" spans="1:7" x14ac:dyDescent="0.3">
      <c r="A28" s="84" t="s">
        <v>62</v>
      </c>
      <c r="B28" s="84" t="s">
        <v>63</v>
      </c>
      <c r="C28" s="85">
        <v>46169</v>
      </c>
      <c r="D28" s="86">
        <v>10691.2</v>
      </c>
      <c r="E28" s="84" t="s">
        <v>64</v>
      </c>
      <c r="F28" s="84" t="s">
        <v>65</v>
      </c>
      <c r="G28" t="s">
        <v>66</v>
      </c>
    </row>
    <row r="29" spans="1:7" x14ac:dyDescent="0.3">
      <c r="A29" s="84" t="s">
        <v>62</v>
      </c>
      <c r="B29" s="84" t="s">
        <v>63</v>
      </c>
      <c r="C29" s="85">
        <v>46170</v>
      </c>
      <c r="D29" s="86">
        <v>11524</v>
      </c>
      <c r="E29" s="84" t="s">
        <v>64</v>
      </c>
      <c r="F29" s="84" t="s">
        <v>65</v>
      </c>
      <c r="G29" t="s">
        <v>66</v>
      </c>
    </row>
    <row r="30" spans="1:7" x14ac:dyDescent="0.3">
      <c r="A30" s="84" t="s">
        <v>62</v>
      </c>
      <c r="B30" s="84" t="s">
        <v>63</v>
      </c>
      <c r="C30" s="85">
        <v>46171</v>
      </c>
      <c r="D30" s="86">
        <v>16968.810000000001</v>
      </c>
      <c r="E30" s="84" t="s">
        <v>64</v>
      </c>
      <c r="F30" s="84" t="s">
        <v>65</v>
      </c>
      <c r="G30" t="s">
        <v>66</v>
      </c>
    </row>
    <row r="31" spans="1:7" x14ac:dyDescent="0.3">
      <c r="A31" s="84" t="s">
        <v>62</v>
      </c>
      <c r="B31" s="84" t="s">
        <v>63</v>
      </c>
      <c r="C31" s="85">
        <v>46172</v>
      </c>
      <c r="D31" s="86">
        <v>16986.29</v>
      </c>
      <c r="E31" s="84" t="s">
        <v>64</v>
      </c>
      <c r="F31" s="84" t="s">
        <v>65</v>
      </c>
      <c r="G31" t="s">
        <v>66</v>
      </c>
    </row>
    <row r="32" spans="1:7" x14ac:dyDescent="0.3">
      <c r="A32" s="84" t="s">
        <v>62</v>
      </c>
      <c r="B32" s="84" t="s">
        <v>63</v>
      </c>
      <c r="C32" s="85">
        <v>46173</v>
      </c>
      <c r="D32" s="86">
        <v>16587</v>
      </c>
      <c r="E32" s="84" t="s">
        <v>64</v>
      </c>
      <c r="F32" s="84" t="s">
        <v>65</v>
      </c>
      <c r="G32" t="s">
        <v>66</v>
      </c>
    </row>
    <row r="33" spans="1:7" x14ac:dyDescent="0.3">
      <c r="A33" s="87" t="s">
        <v>67</v>
      </c>
      <c r="B33" s="87" t="s">
        <v>68</v>
      </c>
      <c r="C33" s="88">
        <v>46143</v>
      </c>
      <c r="D33" s="89">
        <v>41153.71</v>
      </c>
      <c r="E33" s="87" t="s">
        <v>64</v>
      </c>
      <c r="F33" s="87" t="s">
        <v>65</v>
      </c>
      <c r="G33" t="s">
        <v>69</v>
      </c>
    </row>
    <row r="34" spans="1:7" x14ac:dyDescent="0.3">
      <c r="A34" s="87" t="s">
        <v>67</v>
      </c>
      <c r="B34" s="87" t="s">
        <v>68</v>
      </c>
      <c r="C34" s="88">
        <v>46144</v>
      </c>
      <c r="D34" s="89">
        <v>40113.550000000003</v>
      </c>
      <c r="E34" s="87" t="s">
        <v>64</v>
      </c>
      <c r="F34" s="87" t="s">
        <v>65</v>
      </c>
      <c r="G34" t="s">
        <v>69</v>
      </c>
    </row>
    <row r="35" spans="1:7" x14ac:dyDescent="0.3">
      <c r="A35" s="87" t="s">
        <v>67</v>
      </c>
      <c r="B35" s="87" t="s">
        <v>68</v>
      </c>
      <c r="C35" s="88">
        <v>46145</v>
      </c>
      <c r="D35" s="89">
        <v>39986.32</v>
      </c>
      <c r="E35" s="87" t="s">
        <v>64</v>
      </c>
      <c r="F35" s="87" t="s">
        <v>65</v>
      </c>
      <c r="G35" t="s">
        <v>69</v>
      </c>
    </row>
    <row r="36" spans="1:7" x14ac:dyDescent="0.3">
      <c r="A36" s="87" t="s">
        <v>67</v>
      </c>
      <c r="B36" s="87" t="s">
        <v>68</v>
      </c>
      <c r="C36" s="88">
        <v>46146</v>
      </c>
      <c r="D36" s="89">
        <v>49086.69</v>
      </c>
      <c r="E36" s="87" t="s">
        <v>64</v>
      </c>
      <c r="F36" s="87" t="s">
        <v>65</v>
      </c>
      <c r="G36" t="s">
        <v>69</v>
      </c>
    </row>
    <row r="37" spans="1:7" x14ac:dyDescent="0.3">
      <c r="A37" s="87" t="s">
        <v>67</v>
      </c>
      <c r="B37" s="87" t="s">
        <v>68</v>
      </c>
      <c r="C37" s="88">
        <v>46147</v>
      </c>
      <c r="D37" s="89">
        <v>53600.52</v>
      </c>
      <c r="E37" s="87" t="s">
        <v>64</v>
      </c>
      <c r="F37" s="87" t="s">
        <v>65</v>
      </c>
      <c r="G37" t="s">
        <v>69</v>
      </c>
    </row>
    <row r="38" spans="1:7" x14ac:dyDescent="0.3">
      <c r="A38" s="87" t="s">
        <v>67</v>
      </c>
      <c r="B38" s="87" t="s">
        <v>68</v>
      </c>
      <c r="C38" s="88">
        <v>46148</v>
      </c>
      <c r="D38" s="89">
        <v>51434.44</v>
      </c>
      <c r="E38" s="87" t="s">
        <v>64</v>
      </c>
      <c r="F38" s="87" t="s">
        <v>65</v>
      </c>
      <c r="G38" t="s">
        <v>69</v>
      </c>
    </row>
    <row r="39" spans="1:7" x14ac:dyDescent="0.3">
      <c r="A39" s="87" t="s">
        <v>67</v>
      </c>
      <c r="B39" s="87" t="s">
        <v>68</v>
      </c>
      <c r="C39" s="88">
        <v>46149</v>
      </c>
      <c r="D39" s="89">
        <v>56610.64</v>
      </c>
      <c r="E39" s="87" t="s">
        <v>64</v>
      </c>
      <c r="F39" s="87" t="s">
        <v>65</v>
      </c>
      <c r="G39" t="s">
        <v>69</v>
      </c>
    </row>
    <row r="40" spans="1:7" x14ac:dyDescent="0.3">
      <c r="A40" s="87" t="s">
        <v>67</v>
      </c>
      <c r="B40" s="87" t="s">
        <v>68</v>
      </c>
      <c r="C40" s="88">
        <v>46150</v>
      </c>
      <c r="D40" s="89">
        <v>49580</v>
      </c>
      <c r="E40" s="87" t="s">
        <v>64</v>
      </c>
      <c r="F40" s="87" t="s">
        <v>65</v>
      </c>
      <c r="G40" t="s">
        <v>69</v>
      </c>
    </row>
    <row r="41" spans="1:7" x14ac:dyDescent="0.3">
      <c r="A41" s="87" t="s">
        <v>67</v>
      </c>
      <c r="B41" s="87" t="s">
        <v>68</v>
      </c>
      <c r="C41" s="88">
        <v>46151</v>
      </c>
      <c r="D41" s="89">
        <v>48600.6</v>
      </c>
      <c r="E41" s="87" t="s">
        <v>64</v>
      </c>
      <c r="F41" s="87" t="s">
        <v>65</v>
      </c>
      <c r="G41" t="s">
        <v>69</v>
      </c>
    </row>
    <row r="42" spans="1:7" x14ac:dyDescent="0.3">
      <c r="A42" s="87" t="s">
        <v>67</v>
      </c>
      <c r="B42" s="87" t="s">
        <v>68</v>
      </c>
      <c r="C42" s="88">
        <v>46152</v>
      </c>
      <c r="D42" s="89">
        <v>46982.62</v>
      </c>
      <c r="E42" s="87" t="s">
        <v>64</v>
      </c>
      <c r="F42" s="87" t="s">
        <v>65</v>
      </c>
      <c r="G42" t="s">
        <v>69</v>
      </c>
    </row>
    <row r="43" spans="1:7" x14ac:dyDescent="0.3">
      <c r="A43" s="87" t="s">
        <v>67</v>
      </c>
      <c r="B43" s="87" t="s">
        <v>68</v>
      </c>
      <c r="C43" s="88">
        <v>46153</v>
      </c>
      <c r="D43" s="89">
        <v>41423.730000000003</v>
      </c>
      <c r="E43" s="87" t="s">
        <v>64</v>
      </c>
      <c r="F43" s="87" t="s">
        <v>65</v>
      </c>
      <c r="G43" t="s">
        <v>69</v>
      </c>
    </row>
    <row r="44" spans="1:7" x14ac:dyDescent="0.3">
      <c r="A44" s="87" t="s">
        <v>67</v>
      </c>
      <c r="B44" s="87" t="s">
        <v>68</v>
      </c>
      <c r="C44" s="88">
        <v>46154</v>
      </c>
      <c r="D44" s="89">
        <v>42916.76</v>
      </c>
      <c r="E44" s="87" t="s">
        <v>64</v>
      </c>
      <c r="F44" s="87" t="s">
        <v>65</v>
      </c>
      <c r="G44" t="s">
        <v>69</v>
      </c>
    </row>
    <row r="45" spans="1:7" x14ac:dyDescent="0.3">
      <c r="A45" s="87" t="s">
        <v>67</v>
      </c>
      <c r="B45" s="87" t="s">
        <v>68</v>
      </c>
      <c r="C45" s="88">
        <v>46155</v>
      </c>
      <c r="D45" s="89">
        <v>39635.129999999997</v>
      </c>
      <c r="E45" s="87" t="s">
        <v>64</v>
      </c>
      <c r="F45" s="87" t="s">
        <v>65</v>
      </c>
      <c r="G45" t="s">
        <v>69</v>
      </c>
    </row>
    <row r="46" spans="1:7" x14ac:dyDescent="0.3">
      <c r="A46" s="87" t="s">
        <v>67</v>
      </c>
      <c r="B46" s="87" t="s">
        <v>68</v>
      </c>
      <c r="C46" s="88">
        <v>46156</v>
      </c>
      <c r="D46" s="89">
        <v>39714.730000000003</v>
      </c>
      <c r="E46" s="87" t="s">
        <v>64</v>
      </c>
      <c r="F46" s="87" t="s">
        <v>65</v>
      </c>
      <c r="G46" t="s">
        <v>69</v>
      </c>
    </row>
    <row r="47" spans="1:7" x14ac:dyDescent="0.3">
      <c r="A47" s="87" t="s">
        <v>67</v>
      </c>
      <c r="B47" s="87" t="s">
        <v>68</v>
      </c>
      <c r="C47" s="88">
        <v>46157</v>
      </c>
      <c r="D47" s="89">
        <v>38354.239999999998</v>
      </c>
      <c r="E47" s="87" t="s">
        <v>64</v>
      </c>
      <c r="F47" s="87" t="s">
        <v>65</v>
      </c>
      <c r="G47" t="s">
        <v>69</v>
      </c>
    </row>
    <row r="48" spans="1:7" x14ac:dyDescent="0.3">
      <c r="A48" s="87" t="s">
        <v>67</v>
      </c>
      <c r="B48" s="87" t="s">
        <v>68</v>
      </c>
      <c r="C48" s="88">
        <v>46158</v>
      </c>
      <c r="D48" s="89">
        <v>39655.86</v>
      </c>
      <c r="E48" s="87" t="s">
        <v>64</v>
      </c>
      <c r="F48" s="87" t="s">
        <v>65</v>
      </c>
      <c r="G48" t="s">
        <v>69</v>
      </c>
    </row>
    <row r="49" spans="1:7" x14ac:dyDescent="0.3">
      <c r="A49" s="87" t="s">
        <v>67</v>
      </c>
      <c r="B49" s="87" t="s">
        <v>68</v>
      </c>
      <c r="C49" s="88">
        <v>46159</v>
      </c>
      <c r="D49" s="89">
        <v>39655.089999999997</v>
      </c>
      <c r="E49" s="87" t="s">
        <v>64</v>
      </c>
      <c r="F49" s="87" t="s">
        <v>65</v>
      </c>
      <c r="G49" t="s">
        <v>69</v>
      </c>
    </row>
    <row r="50" spans="1:7" x14ac:dyDescent="0.3">
      <c r="A50" s="87" t="s">
        <v>67</v>
      </c>
      <c r="B50" s="87" t="s">
        <v>68</v>
      </c>
      <c r="C50" s="88">
        <v>46160</v>
      </c>
      <c r="D50" s="89">
        <v>38308.6</v>
      </c>
      <c r="E50" s="87" t="s">
        <v>64</v>
      </c>
      <c r="F50" s="87" t="s">
        <v>65</v>
      </c>
      <c r="G50" t="s">
        <v>69</v>
      </c>
    </row>
    <row r="51" spans="1:7" x14ac:dyDescent="0.3">
      <c r="A51" s="87" t="s">
        <v>67</v>
      </c>
      <c r="B51" s="87" t="s">
        <v>68</v>
      </c>
      <c r="C51" s="88">
        <v>46161</v>
      </c>
      <c r="D51" s="89">
        <v>39725.46</v>
      </c>
      <c r="E51" s="87" t="s">
        <v>64</v>
      </c>
      <c r="F51" s="87" t="s">
        <v>65</v>
      </c>
      <c r="G51" t="s">
        <v>69</v>
      </c>
    </row>
    <row r="52" spans="1:7" x14ac:dyDescent="0.3">
      <c r="A52" s="87" t="s">
        <v>67</v>
      </c>
      <c r="B52" s="87" t="s">
        <v>68</v>
      </c>
      <c r="C52" s="88">
        <v>46162</v>
      </c>
      <c r="D52" s="89">
        <v>38382.589999999997</v>
      </c>
      <c r="E52" s="87" t="s">
        <v>64</v>
      </c>
      <c r="F52" s="87" t="s">
        <v>65</v>
      </c>
      <c r="G52" t="s">
        <v>69</v>
      </c>
    </row>
    <row r="53" spans="1:7" x14ac:dyDescent="0.3">
      <c r="A53" s="87" t="s">
        <v>67</v>
      </c>
      <c r="B53" s="87" t="s">
        <v>68</v>
      </c>
      <c r="C53" s="88">
        <v>46163</v>
      </c>
      <c r="D53" s="89">
        <v>39759.760000000002</v>
      </c>
      <c r="E53" s="87" t="s">
        <v>64</v>
      </c>
      <c r="F53" s="87" t="s">
        <v>65</v>
      </c>
      <c r="G53" t="s">
        <v>69</v>
      </c>
    </row>
    <row r="54" spans="1:7" x14ac:dyDescent="0.3">
      <c r="A54" s="87" t="s">
        <v>67</v>
      </c>
      <c r="B54" s="87" t="s">
        <v>68</v>
      </c>
      <c r="C54" s="88">
        <v>46164</v>
      </c>
      <c r="D54" s="89">
        <v>38372.370000000003</v>
      </c>
      <c r="E54" s="87" t="s">
        <v>64</v>
      </c>
      <c r="F54" s="87" t="s">
        <v>65</v>
      </c>
      <c r="G54" t="s">
        <v>69</v>
      </c>
    </row>
    <row r="55" spans="1:7" x14ac:dyDescent="0.3">
      <c r="A55" s="87" t="s">
        <v>67</v>
      </c>
      <c r="B55" s="87" t="s">
        <v>68</v>
      </c>
      <c r="C55" s="88">
        <v>46165</v>
      </c>
      <c r="D55" s="89">
        <v>39746.980000000003</v>
      </c>
      <c r="E55" s="87" t="s">
        <v>64</v>
      </c>
      <c r="F55" s="87" t="s">
        <v>65</v>
      </c>
      <c r="G55" t="s">
        <v>69</v>
      </c>
    </row>
    <row r="56" spans="1:7" x14ac:dyDescent="0.3">
      <c r="A56" s="87" t="s">
        <v>67</v>
      </c>
      <c r="B56" s="87" t="s">
        <v>68</v>
      </c>
      <c r="C56" s="88">
        <v>46166</v>
      </c>
      <c r="D56" s="89">
        <v>39724.5</v>
      </c>
      <c r="E56" s="87" t="s">
        <v>64</v>
      </c>
      <c r="F56" s="87" t="s">
        <v>65</v>
      </c>
      <c r="G56" t="s">
        <v>69</v>
      </c>
    </row>
    <row r="57" spans="1:7" x14ac:dyDescent="0.3">
      <c r="A57" s="87" t="s">
        <v>67</v>
      </c>
      <c r="B57" s="87" t="s">
        <v>68</v>
      </c>
      <c r="C57" s="88">
        <v>46167</v>
      </c>
      <c r="D57" s="89">
        <v>38359.620000000003</v>
      </c>
      <c r="E57" s="87" t="s">
        <v>64</v>
      </c>
      <c r="F57" s="87" t="s">
        <v>65</v>
      </c>
      <c r="G57" t="s">
        <v>69</v>
      </c>
    </row>
    <row r="58" spans="1:7" x14ac:dyDescent="0.3">
      <c r="A58" s="87" t="s">
        <v>67</v>
      </c>
      <c r="B58" s="87" t="s">
        <v>68</v>
      </c>
      <c r="C58" s="88">
        <v>46168</v>
      </c>
      <c r="D58" s="89">
        <v>39687.25</v>
      </c>
      <c r="E58" s="87" t="s">
        <v>64</v>
      </c>
      <c r="F58" s="87" t="s">
        <v>65</v>
      </c>
      <c r="G58" t="s">
        <v>69</v>
      </c>
    </row>
    <row r="59" spans="1:7" x14ac:dyDescent="0.3">
      <c r="A59" s="87" t="s">
        <v>67</v>
      </c>
      <c r="B59" s="87" t="s">
        <v>68</v>
      </c>
      <c r="C59" s="88">
        <v>46169</v>
      </c>
      <c r="D59" s="89">
        <v>38142.559999999998</v>
      </c>
      <c r="E59" s="87" t="s">
        <v>64</v>
      </c>
      <c r="F59" s="87" t="s">
        <v>65</v>
      </c>
      <c r="G59" t="s">
        <v>69</v>
      </c>
    </row>
    <row r="60" spans="1:7" x14ac:dyDescent="0.3">
      <c r="A60" s="87" t="s">
        <v>67</v>
      </c>
      <c r="B60" s="87" t="s">
        <v>68</v>
      </c>
      <c r="C60" s="88">
        <v>46170</v>
      </c>
      <c r="D60" s="89">
        <v>39318.1</v>
      </c>
      <c r="E60" s="87" t="s">
        <v>64</v>
      </c>
      <c r="F60" s="87" t="s">
        <v>65</v>
      </c>
      <c r="G60" t="s">
        <v>69</v>
      </c>
    </row>
    <row r="61" spans="1:7" x14ac:dyDescent="0.3">
      <c r="A61" s="87" t="s">
        <v>67</v>
      </c>
      <c r="B61" s="87" t="s">
        <v>68</v>
      </c>
      <c r="C61" s="88">
        <v>46171</v>
      </c>
      <c r="D61" s="89">
        <v>34851.31</v>
      </c>
      <c r="E61" s="87" t="s">
        <v>64</v>
      </c>
      <c r="F61" s="87" t="s">
        <v>65</v>
      </c>
      <c r="G61" t="s">
        <v>69</v>
      </c>
    </row>
    <row r="62" spans="1:7" x14ac:dyDescent="0.3">
      <c r="A62" s="87" t="s">
        <v>67</v>
      </c>
      <c r="B62" s="87" t="s">
        <v>68</v>
      </c>
      <c r="C62" s="88">
        <v>46172</v>
      </c>
      <c r="D62" s="89">
        <v>38663.519999999997</v>
      </c>
      <c r="E62" s="87" t="s">
        <v>64</v>
      </c>
      <c r="F62" s="87" t="s">
        <v>65</v>
      </c>
      <c r="G62" t="s">
        <v>69</v>
      </c>
    </row>
    <row r="63" spans="1:7" x14ac:dyDescent="0.3">
      <c r="A63" s="87" t="s">
        <v>67</v>
      </c>
      <c r="B63" s="87" t="s">
        <v>68</v>
      </c>
      <c r="C63" s="88">
        <v>46173</v>
      </c>
      <c r="D63" s="89">
        <v>38087.480000000003</v>
      </c>
      <c r="E63" s="87" t="s">
        <v>64</v>
      </c>
      <c r="F63" s="87" t="s">
        <v>65</v>
      </c>
      <c r="G63" t="s">
        <v>69</v>
      </c>
    </row>
    <row r="64" spans="1:7" x14ac:dyDescent="0.3">
      <c r="A64" s="90" t="s">
        <v>70</v>
      </c>
      <c r="B64" s="90" t="s">
        <v>71</v>
      </c>
      <c r="C64" s="91">
        <v>46143</v>
      </c>
      <c r="D64" s="92">
        <v>39284</v>
      </c>
      <c r="E64" s="90" t="s">
        <v>64</v>
      </c>
      <c r="F64" s="90" t="s">
        <v>65</v>
      </c>
      <c r="G64" t="s">
        <v>72</v>
      </c>
    </row>
    <row r="65" spans="1:7" x14ac:dyDescent="0.3">
      <c r="A65" s="90" t="s">
        <v>70</v>
      </c>
      <c r="B65" s="90" t="s">
        <v>71</v>
      </c>
      <c r="C65" s="91">
        <v>46144</v>
      </c>
      <c r="D65" s="92">
        <v>38111.5</v>
      </c>
      <c r="E65" s="90" t="s">
        <v>64</v>
      </c>
      <c r="F65" s="90" t="s">
        <v>65</v>
      </c>
      <c r="G65" t="s">
        <v>72</v>
      </c>
    </row>
    <row r="66" spans="1:7" x14ac:dyDescent="0.3">
      <c r="A66" s="90" t="s">
        <v>70</v>
      </c>
      <c r="B66" s="90" t="s">
        <v>71</v>
      </c>
      <c r="C66" s="91">
        <v>46145</v>
      </c>
      <c r="D66" s="92">
        <v>37787.4</v>
      </c>
      <c r="E66" s="90" t="s">
        <v>64</v>
      </c>
      <c r="F66" s="90" t="s">
        <v>65</v>
      </c>
      <c r="G66" t="s">
        <v>72</v>
      </c>
    </row>
    <row r="67" spans="1:7" x14ac:dyDescent="0.3">
      <c r="A67" s="90" t="s">
        <v>70</v>
      </c>
      <c r="B67" s="90" t="s">
        <v>71</v>
      </c>
      <c r="C67" s="91">
        <v>46146</v>
      </c>
      <c r="D67" s="92">
        <v>40631.5</v>
      </c>
      <c r="E67" s="90" t="s">
        <v>64</v>
      </c>
      <c r="F67" s="90" t="s">
        <v>65</v>
      </c>
      <c r="G67" t="s">
        <v>72</v>
      </c>
    </row>
    <row r="68" spans="1:7" x14ac:dyDescent="0.3">
      <c r="A68" s="90" t="s">
        <v>70</v>
      </c>
      <c r="B68" s="90" t="s">
        <v>71</v>
      </c>
      <c r="C68" s="91">
        <v>46147</v>
      </c>
      <c r="D68" s="92">
        <v>39957.4</v>
      </c>
      <c r="E68" s="90" t="s">
        <v>64</v>
      </c>
      <c r="F68" s="90" t="s">
        <v>65</v>
      </c>
      <c r="G68" t="s">
        <v>72</v>
      </c>
    </row>
    <row r="69" spans="1:7" x14ac:dyDescent="0.3">
      <c r="A69" s="90" t="s">
        <v>70</v>
      </c>
      <c r="B69" s="90" t="s">
        <v>71</v>
      </c>
      <c r="C69" s="91">
        <v>46148</v>
      </c>
      <c r="D69" s="92">
        <v>37930.199999999997</v>
      </c>
      <c r="E69" s="90" t="s">
        <v>64</v>
      </c>
      <c r="F69" s="90" t="s">
        <v>65</v>
      </c>
      <c r="G69" t="s">
        <v>72</v>
      </c>
    </row>
    <row r="70" spans="1:7" x14ac:dyDescent="0.3">
      <c r="A70" s="90" t="s">
        <v>70</v>
      </c>
      <c r="B70" s="90" t="s">
        <v>71</v>
      </c>
      <c r="C70" s="91">
        <v>46149</v>
      </c>
      <c r="D70" s="92">
        <v>43304.1</v>
      </c>
      <c r="E70" s="90" t="s">
        <v>64</v>
      </c>
      <c r="F70" s="90" t="s">
        <v>65</v>
      </c>
      <c r="G70" t="s">
        <v>72</v>
      </c>
    </row>
    <row r="71" spans="1:7" x14ac:dyDescent="0.3">
      <c r="A71" s="90" t="s">
        <v>70</v>
      </c>
      <c r="B71" s="90" t="s">
        <v>71</v>
      </c>
      <c r="C71" s="91">
        <v>46150</v>
      </c>
      <c r="D71" s="92">
        <v>39669.699999999997</v>
      </c>
      <c r="E71" s="90" t="s">
        <v>64</v>
      </c>
      <c r="F71" s="90" t="s">
        <v>65</v>
      </c>
      <c r="G71" t="s">
        <v>72</v>
      </c>
    </row>
    <row r="72" spans="1:7" x14ac:dyDescent="0.3">
      <c r="A72" s="90" t="s">
        <v>70</v>
      </c>
      <c r="B72" s="90" t="s">
        <v>71</v>
      </c>
      <c r="C72" s="91">
        <v>46151</v>
      </c>
      <c r="D72" s="92">
        <v>37222.5</v>
      </c>
      <c r="E72" s="90" t="s">
        <v>64</v>
      </c>
      <c r="F72" s="90" t="s">
        <v>65</v>
      </c>
      <c r="G72" t="s">
        <v>72</v>
      </c>
    </row>
    <row r="73" spans="1:7" x14ac:dyDescent="0.3">
      <c r="A73" s="90" t="s">
        <v>70</v>
      </c>
      <c r="B73" s="90" t="s">
        <v>71</v>
      </c>
      <c r="C73" s="91">
        <v>46152</v>
      </c>
      <c r="D73" s="92">
        <v>36033.199999999997</v>
      </c>
      <c r="E73" s="90" t="s">
        <v>64</v>
      </c>
      <c r="F73" s="90" t="s">
        <v>65</v>
      </c>
      <c r="G73" t="s">
        <v>72</v>
      </c>
    </row>
    <row r="74" spans="1:7" x14ac:dyDescent="0.3">
      <c r="A74" s="90" t="s">
        <v>70</v>
      </c>
      <c r="B74" s="90" t="s">
        <v>71</v>
      </c>
      <c r="C74" s="91">
        <v>46153</v>
      </c>
      <c r="D74" s="92">
        <v>34748</v>
      </c>
      <c r="E74" s="90" t="s">
        <v>64</v>
      </c>
      <c r="F74" s="90" t="s">
        <v>65</v>
      </c>
      <c r="G74" t="s">
        <v>72</v>
      </c>
    </row>
    <row r="75" spans="1:7" x14ac:dyDescent="0.3">
      <c r="A75" s="90" t="s">
        <v>70</v>
      </c>
      <c r="B75" s="90" t="s">
        <v>71</v>
      </c>
      <c r="C75" s="91">
        <v>46154</v>
      </c>
      <c r="D75" s="92">
        <v>36436.400000000001</v>
      </c>
      <c r="E75" s="90" t="s">
        <v>64</v>
      </c>
      <c r="F75" s="90" t="s">
        <v>65</v>
      </c>
      <c r="G75" t="s">
        <v>72</v>
      </c>
    </row>
    <row r="76" spans="1:7" x14ac:dyDescent="0.3">
      <c r="A76" s="90" t="s">
        <v>70</v>
      </c>
      <c r="B76" s="90" t="s">
        <v>71</v>
      </c>
      <c r="C76" s="91">
        <v>46155</v>
      </c>
      <c r="D76" s="92">
        <v>36124.9</v>
      </c>
      <c r="E76" s="90" t="s">
        <v>64</v>
      </c>
      <c r="F76" s="90" t="s">
        <v>65</v>
      </c>
      <c r="G76" t="s">
        <v>72</v>
      </c>
    </row>
    <row r="77" spans="1:7" x14ac:dyDescent="0.3">
      <c r="A77" s="90" t="s">
        <v>70</v>
      </c>
      <c r="B77" s="90" t="s">
        <v>71</v>
      </c>
      <c r="C77" s="91">
        <v>46156</v>
      </c>
      <c r="D77" s="92">
        <v>34862.800000000003</v>
      </c>
      <c r="E77" s="90" t="s">
        <v>64</v>
      </c>
      <c r="F77" s="90" t="s">
        <v>65</v>
      </c>
      <c r="G77" t="s">
        <v>72</v>
      </c>
    </row>
    <row r="78" spans="1:7" x14ac:dyDescent="0.3">
      <c r="A78" s="90" t="s">
        <v>70</v>
      </c>
      <c r="B78" s="90" t="s">
        <v>71</v>
      </c>
      <c r="C78" s="91">
        <v>46157</v>
      </c>
      <c r="D78" s="92">
        <v>33324.9</v>
      </c>
      <c r="E78" s="90" t="s">
        <v>64</v>
      </c>
      <c r="F78" s="90" t="s">
        <v>65</v>
      </c>
      <c r="G78" t="s">
        <v>72</v>
      </c>
    </row>
    <row r="79" spans="1:7" x14ac:dyDescent="0.3">
      <c r="A79" s="90" t="s">
        <v>70</v>
      </c>
      <c r="B79" s="90" t="s">
        <v>71</v>
      </c>
      <c r="C79" s="91">
        <v>46158</v>
      </c>
      <c r="D79" s="92">
        <v>32795.699999999997</v>
      </c>
      <c r="E79" s="90" t="s">
        <v>64</v>
      </c>
      <c r="F79" s="90" t="s">
        <v>65</v>
      </c>
      <c r="G79" t="s">
        <v>72</v>
      </c>
    </row>
    <row r="80" spans="1:7" x14ac:dyDescent="0.3">
      <c r="A80" s="90" t="s">
        <v>70</v>
      </c>
      <c r="B80" s="90" t="s">
        <v>71</v>
      </c>
      <c r="C80" s="91">
        <v>46159</v>
      </c>
      <c r="D80" s="92">
        <v>31981.599999999999</v>
      </c>
      <c r="E80" s="90" t="s">
        <v>64</v>
      </c>
      <c r="F80" s="90" t="s">
        <v>65</v>
      </c>
      <c r="G80" t="s">
        <v>72</v>
      </c>
    </row>
    <row r="81" spans="1:7" x14ac:dyDescent="0.3">
      <c r="A81" s="90" t="s">
        <v>70</v>
      </c>
      <c r="B81" s="90" t="s">
        <v>71</v>
      </c>
      <c r="C81" s="91">
        <v>46160</v>
      </c>
      <c r="D81" s="92">
        <v>31241</v>
      </c>
      <c r="E81" s="90" t="s">
        <v>64</v>
      </c>
      <c r="F81" s="90" t="s">
        <v>65</v>
      </c>
      <c r="G81" t="s">
        <v>72</v>
      </c>
    </row>
    <row r="82" spans="1:7" x14ac:dyDescent="0.3">
      <c r="A82" s="90" t="s">
        <v>70</v>
      </c>
      <c r="B82" s="90" t="s">
        <v>71</v>
      </c>
      <c r="C82" s="91">
        <v>46161</v>
      </c>
      <c r="D82" s="92">
        <v>30569</v>
      </c>
      <c r="E82" s="90" t="s">
        <v>64</v>
      </c>
      <c r="F82" s="90" t="s">
        <v>65</v>
      </c>
      <c r="G82" t="s">
        <v>72</v>
      </c>
    </row>
    <row r="83" spans="1:7" x14ac:dyDescent="0.3">
      <c r="A83" s="90" t="s">
        <v>70</v>
      </c>
      <c r="B83" s="90" t="s">
        <v>71</v>
      </c>
      <c r="C83" s="91">
        <v>46162</v>
      </c>
      <c r="D83" s="92">
        <v>30345</v>
      </c>
      <c r="E83" s="90" t="s">
        <v>64</v>
      </c>
      <c r="F83" s="90" t="s">
        <v>65</v>
      </c>
      <c r="G83" t="s">
        <v>72</v>
      </c>
    </row>
    <row r="84" spans="1:7" x14ac:dyDescent="0.3">
      <c r="A84" s="90" t="s">
        <v>70</v>
      </c>
      <c r="B84" s="90" t="s">
        <v>71</v>
      </c>
      <c r="C84" s="91">
        <v>46163</v>
      </c>
      <c r="D84" s="92">
        <v>30907.8</v>
      </c>
      <c r="E84" s="90" t="s">
        <v>64</v>
      </c>
      <c r="F84" s="90" t="s">
        <v>65</v>
      </c>
      <c r="G84" t="s">
        <v>72</v>
      </c>
    </row>
    <row r="85" spans="1:7" x14ac:dyDescent="0.3">
      <c r="A85" s="90" t="s">
        <v>70</v>
      </c>
      <c r="B85" s="90" t="s">
        <v>71</v>
      </c>
      <c r="C85" s="91">
        <v>46164</v>
      </c>
      <c r="D85" s="92">
        <v>33903.1</v>
      </c>
      <c r="E85" s="90" t="s">
        <v>64</v>
      </c>
      <c r="F85" s="90" t="s">
        <v>65</v>
      </c>
      <c r="G85" t="s">
        <v>72</v>
      </c>
    </row>
    <row r="86" spans="1:7" x14ac:dyDescent="0.3">
      <c r="A86" s="90" t="s">
        <v>70</v>
      </c>
      <c r="B86" s="90" t="s">
        <v>71</v>
      </c>
      <c r="C86" s="91">
        <v>46165</v>
      </c>
      <c r="D86" s="92">
        <v>33390</v>
      </c>
      <c r="E86" s="90" t="s">
        <v>64</v>
      </c>
      <c r="F86" s="90" t="s">
        <v>65</v>
      </c>
      <c r="G86" t="s">
        <v>72</v>
      </c>
    </row>
    <row r="87" spans="1:7" x14ac:dyDescent="0.3">
      <c r="A87" s="90" t="s">
        <v>70</v>
      </c>
      <c r="B87" s="90" t="s">
        <v>71</v>
      </c>
      <c r="C87" s="91">
        <v>46166</v>
      </c>
      <c r="D87" s="92">
        <v>32584.3</v>
      </c>
      <c r="E87" s="90" t="s">
        <v>64</v>
      </c>
      <c r="F87" s="90" t="s">
        <v>65</v>
      </c>
      <c r="G87" t="s">
        <v>72</v>
      </c>
    </row>
    <row r="88" spans="1:7" x14ac:dyDescent="0.3">
      <c r="A88" s="90" t="s">
        <v>70</v>
      </c>
      <c r="B88" s="90" t="s">
        <v>71</v>
      </c>
      <c r="C88" s="91">
        <v>46167</v>
      </c>
      <c r="D88" s="92">
        <v>30100</v>
      </c>
      <c r="E88" s="90" t="s">
        <v>64</v>
      </c>
      <c r="F88" s="90" t="s">
        <v>65</v>
      </c>
      <c r="G88" t="s">
        <v>72</v>
      </c>
    </row>
    <row r="89" spans="1:7" x14ac:dyDescent="0.3">
      <c r="A89" s="90" t="s">
        <v>70</v>
      </c>
      <c r="B89" s="90" t="s">
        <v>71</v>
      </c>
      <c r="C89" s="91">
        <v>46168</v>
      </c>
      <c r="D89" s="92">
        <v>29295.7</v>
      </c>
      <c r="E89" s="90" t="s">
        <v>64</v>
      </c>
      <c r="F89" s="90" t="s">
        <v>65</v>
      </c>
      <c r="G89" t="s">
        <v>72</v>
      </c>
    </row>
    <row r="90" spans="1:7" x14ac:dyDescent="0.3">
      <c r="A90" s="90" t="s">
        <v>70</v>
      </c>
      <c r="B90" s="90" t="s">
        <v>71</v>
      </c>
      <c r="C90" s="91">
        <v>46169</v>
      </c>
      <c r="D90" s="92">
        <v>28610.400000000001</v>
      </c>
      <c r="E90" s="90" t="s">
        <v>64</v>
      </c>
      <c r="F90" s="90" t="s">
        <v>65</v>
      </c>
      <c r="G90" t="s">
        <v>72</v>
      </c>
    </row>
    <row r="91" spans="1:7" x14ac:dyDescent="0.3">
      <c r="A91" s="90" t="s">
        <v>70</v>
      </c>
      <c r="B91" s="90" t="s">
        <v>71</v>
      </c>
      <c r="C91" s="91">
        <v>46170</v>
      </c>
      <c r="D91" s="92">
        <v>27168.400000000001</v>
      </c>
      <c r="E91" s="90" t="s">
        <v>64</v>
      </c>
      <c r="F91" s="90" t="s">
        <v>65</v>
      </c>
      <c r="G91" t="s">
        <v>72</v>
      </c>
    </row>
    <row r="92" spans="1:7" x14ac:dyDescent="0.3">
      <c r="A92" s="90" t="s">
        <v>70</v>
      </c>
      <c r="B92" s="90" t="s">
        <v>71</v>
      </c>
      <c r="C92" s="91">
        <v>46171</v>
      </c>
      <c r="D92" s="92">
        <v>26873</v>
      </c>
      <c r="E92" s="90" t="s">
        <v>64</v>
      </c>
      <c r="F92" s="90" t="s">
        <v>65</v>
      </c>
      <c r="G92" t="s">
        <v>72</v>
      </c>
    </row>
    <row r="93" spans="1:7" x14ac:dyDescent="0.3">
      <c r="A93" s="90" t="s">
        <v>70</v>
      </c>
      <c r="B93" s="90" t="s">
        <v>71</v>
      </c>
      <c r="C93" s="91">
        <v>46172</v>
      </c>
      <c r="D93" s="92">
        <v>26588.1</v>
      </c>
      <c r="E93" s="90" t="s">
        <v>64</v>
      </c>
      <c r="F93" s="90" t="s">
        <v>65</v>
      </c>
      <c r="G93" t="s">
        <v>72</v>
      </c>
    </row>
    <row r="94" spans="1:7" x14ac:dyDescent="0.3">
      <c r="A94" s="90" t="s">
        <v>70</v>
      </c>
      <c r="B94" s="90" t="s">
        <v>71</v>
      </c>
      <c r="C94" s="91">
        <v>46173</v>
      </c>
      <c r="D94" s="92">
        <v>26910.799999999999</v>
      </c>
      <c r="E94" s="90" t="s">
        <v>64</v>
      </c>
      <c r="F94" s="90" t="s">
        <v>65</v>
      </c>
      <c r="G94" t="s">
        <v>72</v>
      </c>
    </row>
    <row r="95" spans="1:7" x14ac:dyDescent="0.3">
      <c r="A95" s="93" t="s">
        <v>73</v>
      </c>
      <c r="B95" s="93" t="s">
        <v>74</v>
      </c>
      <c r="C95" s="94">
        <v>46143</v>
      </c>
      <c r="D95" s="93">
        <v>0</v>
      </c>
      <c r="E95" s="93" t="s">
        <v>64</v>
      </c>
      <c r="F95" s="93" t="s">
        <v>65</v>
      </c>
      <c r="G95" t="s">
        <v>75</v>
      </c>
    </row>
    <row r="96" spans="1:7" x14ac:dyDescent="0.3">
      <c r="A96" s="93" t="s">
        <v>73</v>
      </c>
      <c r="B96" s="93" t="s">
        <v>74</v>
      </c>
      <c r="C96" s="94">
        <v>46144</v>
      </c>
      <c r="D96" s="93">
        <v>0</v>
      </c>
      <c r="E96" s="93" t="s">
        <v>64</v>
      </c>
      <c r="F96" s="93" t="s">
        <v>65</v>
      </c>
      <c r="G96" t="s">
        <v>75</v>
      </c>
    </row>
    <row r="97" spans="1:7" x14ac:dyDescent="0.3">
      <c r="A97" s="93" t="s">
        <v>73</v>
      </c>
      <c r="B97" s="93" t="s">
        <v>74</v>
      </c>
      <c r="C97" s="94">
        <v>46145</v>
      </c>
      <c r="D97" s="93">
        <v>0</v>
      </c>
      <c r="E97" s="93" t="s">
        <v>64</v>
      </c>
      <c r="F97" s="93" t="s">
        <v>65</v>
      </c>
      <c r="G97" t="s">
        <v>75</v>
      </c>
    </row>
    <row r="98" spans="1:7" x14ac:dyDescent="0.3">
      <c r="A98" s="93" t="s">
        <v>73</v>
      </c>
      <c r="B98" s="93" t="s">
        <v>74</v>
      </c>
      <c r="C98" s="94">
        <v>46146</v>
      </c>
      <c r="D98" s="95">
        <v>2252.02</v>
      </c>
      <c r="E98" s="93" t="s">
        <v>64</v>
      </c>
      <c r="F98" s="93" t="s">
        <v>65</v>
      </c>
      <c r="G98" t="s">
        <v>75</v>
      </c>
    </row>
    <row r="99" spans="1:7" x14ac:dyDescent="0.3">
      <c r="A99" s="93" t="s">
        <v>73</v>
      </c>
      <c r="B99" s="93" t="s">
        <v>74</v>
      </c>
      <c r="C99" s="94">
        <v>46147</v>
      </c>
      <c r="D99" s="95">
        <v>3177.68</v>
      </c>
      <c r="E99" s="93" t="s">
        <v>64</v>
      </c>
      <c r="F99" s="93" t="s">
        <v>65</v>
      </c>
      <c r="G99" t="s">
        <v>75</v>
      </c>
    </row>
    <row r="100" spans="1:7" x14ac:dyDescent="0.3">
      <c r="A100" s="93" t="s">
        <v>73</v>
      </c>
      <c r="B100" s="93" t="s">
        <v>74</v>
      </c>
      <c r="C100" s="94">
        <v>46148</v>
      </c>
      <c r="D100" s="95">
        <v>3174.98</v>
      </c>
      <c r="E100" s="93" t="s">
        <v>64</v>
      </c>
      <c r="F100" s="93" t="s">
        <v>65</v>
      </c>
      <c r="G100" t="s">
        <v>75</v>
      </c>
    </row>
    <row r="101" spans="1:7" x14ac:dyDescent="0.3">
      <c r="A101" s="93" t="s">
        <v>73</v>
      </c>
      <c r="B101" s="93" t="s">
        <v>74</v>
      </c>
      <c r="C101" s="94">
        <v>46149</v>
      </c>
      <c r="D101" s="95">
        <v>2836.51</v>
      </c>
      <c r="E101" s="93" t="s">
        <v>64</v>
      </c>
      <c r="F101" s="93" t="s">
        <v>65</v>
      </c>
      <c r="G101" t="s">
        <v>75</v>
      </c>
    </row>
    <row r="102" spans="1:7" x14ac:dyDescent="0.3">
      <c r="A102" s="93" t="s">
        <v>73</v>
      </c>
      <c r="B102" s="93" t="s">
        <v>74</v>
      </c>
      <c r="C102" s="94">
        <v>46150</v>
      </c>
      <c r="D102" s="95">
        <v>2535.3000000000002</v>
      </c>
      <c r="E102" s="93" t="s">
        <v>64</v>
      </c>
      <c r="F102" s="93" t="s">
        <v>65</v>
      </c>
      <c r="G102" t="s">
        <v>75</v>
      </c>
    </row>
    <row r="103" spans="1:7" x14ac:dyDescent="0.3">
      <c r="A103" s="93" t="s">
        <v>73</v>
      </c>
      <c r="B103" s="93" t="s">
        <v>74</v>
      </c>
      <c r="C103" s="94">
        <v>46151</v>
      </c>
      <c r="D103" s="93">
        <v>0</v>
      </c>
      <c r="E103" s="93" t="s">
        <v>64</v>
      </c>
      <c r="F103" s="93" t="s">
        <v>65</v>
      </c>
      <c r="G103" t="s">
        <v>75</v>
      </c>
    </row>
    <row r="104" spans="1:7" x14ac:dyDescent="0.3">
      <c r="A104" s="93" t="s">
        <v>73</v>
      </c>
      <c r="B104" s="93" t="s">
        <v>74</v>
      </c>
      <c r="C104" s="94">
        <v>46152</v>
      </c>
      <c r="D104" s="93">
        <v>0</v>
      </c>
      <c r="E104" s="93" t="s">
        <v>64</v>
      </c>
      <c r="F104" s="93" t="s">
        <v>65</v>
      </c>
      <c r="G104" t="s">
        <v>75</v>
      </c>
    </row>
    <row r="105" spans="1:7" x14ac:dyDescent="0.3">
      <c r="A105" s="93" t="s">
        <v>73</v>
      </c>
      <c r="B105" s="93" t="s">
        <v>74</v>
      </c>
      <c r="C105" s="94">
        <v>46153</v>
      </c>
      <c r="D105" s="95">
        <v>1249.8800000000001</v>
      </c>
      <c r="E105" s="93" t="s">
        <v>64</v>
      </c>
      <c r="F105" s="93" t="s">
        <v>65</v>
      </c>
      <c r="G105" t="s">
        <v>75</v>
      </c>
    </row>
    <row r="106" spans="1:7" x14ac:dyDescent="0.3">
      <c r="A106" s="93" t="s">
        <v>73</v>
      </c>
      <c r="B106" s="93" t="s">
        <v>74</v>
      </c>
      <c r="C106" s="94">
        <v>46154</v>
      </c>
      <c r="D106" s="95">
        <v>2063.23</v>
      </c>
      <c r="E106" s="93" t="s">
        <v>64</v>
      </c>
      <c r="F106" s="93" t="s">
        <v>65</v>
      </c>
      <c r="G106" t="s">
        <v>75</v>
      </c>
    </row>
    <row r="107" spans="1:7" x14ac:dyDescent="0.3">
      <c r="A107" s="93" t="s">
        <v>73</v>
      </c>
      <c r="B107" s="93" t="s">
        <v>74</v>
      </c>
      <c r="C107" s="94">
        <v>46155</v>
      </c>
      <c r="D107" s="93">
        <v>695.08799999999997</v>
      </c>
      <c r="E107" s="93" t="s">
        <v>64</v>
      </c>
      <c r="F107" s="93" t="s">
        <v>65</v>
      </c>
      <c r="G107" t="s">
        <v>75</v>
      </c>
    </row>
    <row r="108" spans="1:7" x14ac:dyDescent="0.3">
      <c r="A108" s="93" t="s">
        <v>73</v>
      </c>
      <c r="B108" s="93" t="s">
        <v>74</v>
      </c>
      <c r="C108" s="94">
        <v>46156</v>
      </c>
      <c r="D108" s="93">
        <v>0</v>
      </c>
      <c r="E108" s="93" t="s">
        <v>64</v>
      </c>
      <c r="F108" s="93" t="s">
        <v>65</v>
      </c>
      <c r="G108" t="s">
        <v>75</v>
      </c>
    </row>
    <row r="109" spans="1:7" x14ac:dyDescent="0.3">
      <c r="A109" s="93" t="s">
        <v>73</v>
      </c>
      <c r="B109" s="93" t="s">
        <v>74</v>
      </c>
      <c r="C109" s="94">
        <v>46157</v>
      </c>
      <c r="D109" s="93">
        <v>0</v>
      </c>
      <c r="E109" s="93" t="s">
        <v>64</v>
      </c>
      <c r="F109" s="93" t="s">
        <v>65</v>
      </c>
      <c r="G109" t="s">
        <v>75</v>
      </c>
    </row>
    <row r="110" spans="1:7" x14ac:dyDescent="0.3">
      <c r="A110" s="93" t="s">
        <v>73</v>
      </c>
      <c r="B110" s="93" t="s">
        <v>74</v>
      </c>
      <c r="C110" s="94">
        <v>46158</v>
      </c>
      <c r="D110" s="93">
        <v>0</v>
      </c>
      <c r="E110" s="93" t="s">
        <v>64</v>
      </c>
      <c r="F110" s="93" t="s">
        <v>65</v>
      </c>
      <c r="G110" t="s">
        <v>75</v>
      </c>
    </row>
    <row r="111" spans="1:7" x14ac:dyDescent="0.3">
      <c r="A111" s="93" t="s">
        <v>73</v>
      </c>
      <c r="B111" s="93" t="s">
        <v>74</v>
      </c>
      <c r="C111" s="94">
        <v>46159</v>
      </c>
      <c r="D111" s="93">
        <v>0</v>
      </c>
      <c r="E111" s="93" t="s">
        <v>64</v>
      </c>
      <c r="F111" s="93" t="s">
        <v>65</v>
      </c>
      <c r="G111" t="s">
        <v>75</v>
      </c>
    </row>
    <row r="112" spans="1:7" x14ac:dyDescent="0.3">
      <c r="A112" s="93" t="s">
        <v>73</v>
      </c>
      <c r="B112" s="93" t="s">
        <v>74</v>
      </c>
      <c r="C112" s="94">
        <v>46160</v>
      </c>
      <c r="D112" s="93">
        <v>0</v>
      </c>
      <c r="E112" s="93" t="s">
        <v>64</v>
      </c>
      <c r="F112" s="93" t="s">
        <v>65</v>
      </c>
      <c r="G112" t="s">
        <v>75</v>
      </c>
    </row>
    <row r="113" spans="1:7" x14ac:dyDescent="0.3">
      <c r="A113" s="93" t="s">
        <v>73</v>
      </c>
      <c r="B113" s="93" t="s">
        <v>74</v>
      </c>
      <c r="C113" s="94">
        <v>46161</v>
      </c>
      <c r="D113" s="93">
        <v>0</v>
      </c>
      <c r="E113" s="93" t="s">
        <v>64</v>
      </c>
      <c r="F113" s="93" t="s">
        <v>65</v>
      </c>
      <c r="G113" t="s">
        <v>75</v>
      </c>
    </row>
    <row r="114" spans="1:7" x14ac:dyDescent="0.3">
      <c r="A114" s="93" t="s">
        <v>73</v>
      </c>
      <c r="B114" s="93" t="s">
        <v>74</v>
      </c>
      <c r="C114" s="94">
        <v>46162</v>
      </c>
      <c r="D114" s="95">
        <v>2089.58</v>
      </c>
      <c r="E114" s="93" t="s">
        <v>64</v>
      </c>
      <c r="F114" s="93" t="s">
        <v>65</v>
      </c>
      <c r="G114" t="s">
        <v>75</v>
      </c>
    </row>
    <row r="115" spans="1:7" x14ac:dyDescent="0.3">
      <c r="A115" s="93" t="s">
        <v>73</v>
      </c>
      <c r="B115" s="93" t="s">
        <v>74</v>
      </c>
      <c r="C115" s="94">
        <v>46163</v>
      </c>
      <c r="D115" s="95">
        <v>1418.36</v>
      </c>
      <c r="E115" s="93" t="s">
        <v>64</v>
      </c>
      <c r="F115" s="93" t="s">
        <v>65</v>
      </c>
      <c r="G115" t="s">
        <v>75</v>
      </c>
    </row>
    <row r="116" spans="1:7" x14ac:dyDescent="0.3">
      <c r="A116" s="93" t="s">
        <v>73</v>
      </c>
      <c r="B116" s="93" t="s">
        <v>74</v>
      </c>
      <c r="C116" s="94">
        <v>46164</v>
      </c>
      <c r="D116" s="93">
        <v>0</v>
      </c>
      <c r="E116" s="93" t="s">
        <v>64</v>
      </c>
      <c r="F116" s="93" t="s">
        <v>65</v>
      </c>
      <c r="G116" t="s">
        <v>75</v>
      </c>
    </row>
    <row r="117" spans="1:7" x14ac:dyDescent="0.3">
      <c r="A117" s="93" t="s">
        <v>73</v>
      </c>
      <c r="B117" s="93" t="s">
        <v>74</v>
      </c>
      <c r="C117" s="94">
        <v>46165</v>
      </c>
      <c r="D117" s="93">
        <v>645.29999999999995</v>
      </c>
      <c r="E117" s="93" t="s">
        <v>64</v>
      </c>
      <c r="F117" s="93" t="s">
        <v>65</v>
      </c>
      <c r="G117" t="s">
        <v>75</v>
      </c>
    </row>
    <row r="118" spans="1:7" x14ac:dyDescent="0.3">
      <c r="A118" s="93" t="s">
        <v>73</v>
      </c>
      <c r="B118" s="93" t="s">
        <v>74</v>
      </c>
      <c r="C118" s="94">
        <v>46166</v>
      </c>
      <c r="D118" s="93">
        <v>0</v>
      </c>
      <c r="E118" s="93" t="s">
        <v>64</v>
      </c>
      <c r="F118" s="93" t="s">
        <v>65</v>
      </c>
      <c r="G118" t="s">
        <v>75</v>
      </c>
    </row>
    <row r="119" spans="1:7" x14ac:dyDescent="0.3">
      <c r="A119" s="93" t="s">
        <v>73</v>
      </c>
      <c r="B119" s="93" t="s">
        <v>74</v>
      </c>
      <c r="C119" s="94">
        <v>46167</v>
      </c>
      <c r="D119" s="93">
        <v>0</v>
      </c>
      <c r="E119" s="93" t="s">
        <v>64</v>
      </c>
      <c r="F119" s="93" t="s">
        <v>65</v>
      </c>
      <c r="G119" t="s">
        <v>75</v>
      </c>
    </row>
    <row r="120" spans="1:7" x14ac:dyDescent="0.3">
      <c r="A120" s="93" t="s">
        <v>73</v>
      </c>
      <c r="B120" s="93" t="s">
        <v>74</v>
      </c>
      <c r="C120" s="94">
        <v>46168</v>
      </c>
      <c r="D120" s="93">
        <v>0</v>
      </c>
      <c r="E120" s="93" t="s">
        <v>64</v>
      </c>
      <c r="F120" s="93" t="s">
        <v>65</v>
      </c>
      <c r="G120" t="s">
        <v>75</v>
      </c>
    </row>
    <row r="121" spans="1:7" x14ac:dyDescent="0.3">
      <c r="A121" s="93" t="s">
        <v>73</v>
      </c>
      <c r="B121" s="93" t="s">
        <v>74</v>
      </c>
      <c r="C121" s="94">
        <v>46169</v>
      </c>
      <c r="D121" s="93">
        <v>0</v>
      </c>
      <c r="E121" s="93" t="s">
        <v>64</v>
      </c>
      <c r="F121" s="93" t="s">
        <v>65</v>
      </c>
      <c r="G121" t="s">
        <v>75</v>
      </c>
    </row>
    <row r="122" spans="1:7" x14ac:dyDescent="0.3">
      <c r="A122" s="93" t="s">
        <v>73</v>
      </c>
      <c r="B122" s="93" t="s">
        <v>74</v>
      </c>
      <c r="C122" s="94">
        <v>46170</v>
      </c>
      <c r="D122" s="93">
        <v>0</v>
      </c>
      <c r="E122" s="93" t="s">
        <v>64</v>
      </c>
      <c r="F122" s="93" t="s">
        <v>65</v>
      </c>
      <c r="G122" t="s">
        <v>75</v>
      </c>
    </row>
    <row r="123" spans="1:7" x14ac:dyDescent="0.3">
      <c r="A123" s="93" t="s">
        <v>73</v>
      </c>
      <c r="B123" s="93" t="s">
        <v>74</v>
      </c>
      <c r="C123" s="94">
        <v>46171</v>
      </c>
      <c r="D123" s="93">
        <v>0</v>
      </c>
      <c r="E123" s="93" t="s">
        <v>64</v>
      </c>
      <c r="F123" s="93" t="s">
        <v>65</v>
      </c>
      <c r="G123" t="s">
        <v>75</v>
      </c>
    </row>
    <row r="124" spans="1:7" x14ac:dyDescent="0.3">
      <c r="A124" s="93" t="s">
        <v>73</v>
      </c>
      <c r="B124" s="93" t="s">
        <v>74</v>
      </c>
      <c r="C124" s="94">
        <v>46172</v>
      </c>
      <c r="D124" s="93">
        <v>0</v>
      </c>
      <c r="E124" s="93" t="s">
        <v>64</v>
      </c>
      <c r="F124" s="93" t="s">
        <v>65</v>
      </c>
      <c r="G124" t="s">
        <v>75</v>
      </c>
    </row>
    <row r="125" spans="1:7" x14ac:dyDescent="0.3">
      <c r="A125" s="93" t="s">
        <v>73</v>
      </c>
      <c r="B125" s="93" t="s">
        <v>74</v>
      </c>
      <c r="C125" s="94">
        <v>46173</v>
      </c>
      <c r="D125" s="93">
        <v>0</v>
      </c>
      <c r="E125" s="93" t="s">
        <v>64</v>
      </c>
      <c r="F125" s="93" t="s">
        <v>65</v>
      </c>
      <c r="G125" t="s">
        <v>75</v>
      </c>
    </row>
    <row r="126" spans="1:7" x14ac:dyDescent="0.3">
      <c r="A126" t="s">
        <v>73</v>
      </c>
      <c r="B126" t="s">
        <v>76</v>
      </c>
      <c r="C126" s="78">
        <v>46143</v>
      </c>
      <c r="D126">
        <v>0</v>
      </c>
      <c r="E126" t="s">
        <v>64</v>
      </c>
      <c r="F126" t="s">
        <v>65</v>
      </c>
      <c r="G126" t="s">
        <v>77</v>
      </c>
    </row>
    <row r="127" spans="1:7" x14ac:dyDescent="0.3">
      <c r="A127" t="s">
        <v>73</v>
      </c>
      <c r="B127" t="s">
        <v>76</v>
      </c>
      <c r="C127" s="78">
        <v>46144</v>
      </c>
      <c r="D127">
        <v>0</v>
      </c>
      <c r="E127" t="s">
        <v>64</v>
      </c>
      <c r="F127" t="s">
        <v>65</v>
      </c>
      <c r="G127" t="s">
        <v>77</v>
      </c>
    </row>
    <row r="128" spans="1:7" x14ac:dyDescent="0.3">
      <c r="A128" t="s">
        <v>73</v>
      </c>
      <c r="B128" t="s">
        <v>76</v>
      </c>
      <c r="C128" s="78">
        <v>46145</v>
      </c>
      <c r="D128">
        <v>0</v>
      </c>
      <c r="E128" t="s">
        <v>64</v>
      </c>
      <c r="F128" t="s">
        <v>65</v>
      </c>
      <c r="G128" t="s">
        <v>77</v>
      </c>
    </row>
    <row r="129" spans="1:7" x14ac:dyDescent="0.3">
      <c r="A129" t="s">
        <v>73</v>
      </c>
      <c r="B129" t="s">
        <v>76</v>
      </c>
      <c r="C129" s="78">
        <v>46146</v>
      </c>
      <c r="D129" s="81">
        <v>2499.12</v>
      </c>
      <c r="E129" t="s">
        <v>64</v>
      </c>
      <c r="F129" t="s">
        <v>65</v>
      </c>
      <c r="G129" t="s">
        <v>77</v>
      </c>
    </row>
    <row r="130" spans="1:7" x14ac:dyDescent="0.3">
      <c r="A130" t="s">
        <v>73</v>
      </c>
      <c r="B130" t="s">
        <v>76</v>
      </c>
      <c r="C130" s="78">
        <v>46147</v>
      </c>
      <c r="D130" s="81">
        <v>5646.67</v>
      </c>
      <c r="E130" t="s">
        <v>64</v>
      </c>
      <c r="F130" t="s">
        <v>65</v>
      </c>
      <c r="G130" t="s">
        <v>77</v>
      </c>
    </row>
    <row r="131" spans="1:7" x14ac:dyDescent="0.3">
      <c r="A131" t="s">
        <v>73</v>
      </c>
      <c r="B131" t="s">
        <v>76</v>
      </c>
      <c r="C131" s="78">
        <v>46148</v>
      </c>
      <c r="D131" s="81">
        <v>5952.96</v>
      </c>
      <c r="E131" t="s">
        <v>64</v>
      </c>
      <c r="F131" t="s">
        <v>65</v>
      </c>
      <c r="G131" t="s">
        <v>77</v>
      </c>
    </row>
    <row r="132" spans="1:7" x14ac:dyDescent="0.3">
      <c r="A132" t="s">
        <v>73</v>
      </c>
      <c r="B132" t="s">
        <v>76</v>
      </c>
      <c r="C132" s="78">
        <v>46149</v>
      </c>
      <c r="D132" s="81">
        <v>6059.45</v>
      </c>
      <c r="E132" t="s">
        <v>64</v>
      </c>
      <c r="F132" t="s">
        <v>65</v>
      </c>
      <c r="G132" t="s">
        <v>77</v>
      </c>
    </row>
    <row r="133" spans="1:7" x14ac:dyDescent="0.3">
      <c r="A133" t="s">
        <v>73</v>
      </c>
      <c r="B133" t="s">
        <v>76</v>
      </c>
      <c r="C133" s="78">
        <v>46150</v>
      </c>
      <c r="D133" s="81">
        <v>6240.89</v>
      </c>
      <c r="E133" t="s">
        <v>64</v>
      </c>
      <c r="F133" t="s">
        <v>65</v>
      </c>
      <c r="G133" t="s">
        <v>77</v>
      </c>
    </row>
    <row r="134" spans="1:7" x14ac:dyDescent="0.3">
      <c r="A134" t="s">
        <v>73</v>
      </c>
      <c r="B134" t="s">
        <v>76</v>
      </c>
      <c r="C134" s="78">
        <v>46151</v>
      </c>
      <c r="D134" s="81">
        <v>6217.13</v>
      </c>
      <c r="E134" t="s">
        <v>64</v>
      </c>
      <c r="F134" t="s">
        <v>65</v>
      </c>
      <c r="G134" t="s">
        <v>77</v>
      </c>
    </row>
    <row r="135" spans="1:7" x14ac:dyDescent="0.3">
      <c r="A135" t="s">
        <v>73</v>
      </c>
      <c r="B135" t="s">
        <v>76</v>
      </c>
      <c r="C135" s="78">
        <v>46152</v>
      </c>
      <c r="D135" s="81">
        <v>6180.41</v>
      </c>
      <c r="E135" t="s">
        <v>64</v>
      </c>
      <c r="F135" t="s">
        <v>65</v>
      </c>
      <c r="G135" t="s">
        <v>77</v>
      </c>
    </row>
    <row r="136" spans="1:7" x14ac:dyDescent="0.3">
      <c r="A136" t="s">
        <v>73</v>
      </c>
      <c r="B136" t="s">
        <v>76</v>
      </c>
      <c r="C136" s="78">
        <v>46153</v>
      </c>
      <c r="D136" s="81">
        <v>6158.38</v>
      </c>
      <c r="E136" t="s">
        <v>64</v>
      </c>
      <c r="F136" t="s">
        <v>65</v>
      </c>
      <c r="G136" t="s">
        <v>77</v>
      </c>
    </row>
    <row r="137" spans="1:7" x14ac:dyDescent="0.3">
      <c r="A137" t="s">
        <v>73</v>
      </c>
      <c r="B137" t="s">
        <v>76</v>
      </c>
      <c r="C137" s="78">
        <v>46154</v>
      </c>
      <c r="D137" s="81">
        <v>6149.52</v>
      </c>
      <c r="E137" t="s">
        <v>64</v>
      </c>
      <c r="F137" t="s">
        <v>65</v>
      </c>
      <c r="G137" t="s">
        <v>77</v>
      </c>
    </row>
    <row r="138" spans="1:7" x14ac:dyDescent="0.3">
      <c r="A138" t="s">
        <v>73</v>
      </c>
      <c r="B138" t="s">
        <v>76</v>
      </c>
      <c r="C138" s="78">
        <v>46155</v>
      </c>
      <c r="D138" s="81">
        <v>6144.12</v>
      </c>
      <c r="E138" t="s">
        <v>64</v>
      </c>
      <c r="F138" t="s">
        <v>65</v>
      </c>
      <c r="G138" t="s">
        <v>77</v>
      </c>
    </row>
    <row r="139" spans="1:7" x14ac:dyDescent="0.3">
      <c r="A139" t="s">
        <v>73</v>
      </c>
      <c r="B139" t="s">
        <v>76</v>
      </c>
      <c r="C139" s="78">
        <v>46156</v>
      </c>
      <c r="D139" s="81">
        <v>6136.34</v>
      </c>
      <c r="E139" t="s">
        <v>64</v>
      </c>
      <c r="F139" t="s">
        <v>65</v>
      </c>
      <c r="G139" t="s">
        <v>77</v>
      </c>
    </row>
    <row r="140" spans="1:7" x14ac:dyDescent="0.3">
      <c r="A140" t="s">
        <v>73</v>
      </c>
      <c r="B140" t="s">
        <v>76</v>
      </c>
      <c r="C140" s="78">
        <v>46157</v>
      </c>
      <c r="D140" s="81">
        <v>6123.6</v>
      </c>
      <c r="E140" t="s">
        <v>64</v>
      </c>
      <c r="F140" t="s">
        <v>65</v>
      </c>
      <c r="G140" t="s">
        <v>77</v>
      </c>
    </row>
    <row r="141" spans="1:7" x14ac:dyDescent="0.3">
      <c r="A141" t="s">
        <v>73</v>
      </c>
      <c r="B141" t="s">
        <v>76</v>
      </c>
      <c r="C141" s="78">
        <v>46158</v>
      </c>
      <c r="D141" s="81">
        <v>6081.05</v>
      </c>
      <c r="E141" t="s">
        <v>64</v>
      </c>
      <c r="F141" t="s">
        <v>65</v>
      </c>
      <c r="G141" t="s">
        <v>77</v>
      </c>
    </row>
    <row r="142" spans="1:7" x14ac:dyDescent="0.3">
      <c r="A142" t="s">
        <v>73</v>
      </c>
      <c r="B142" t="s">
        <v>76</v>
      </c>
      <c r="C142" s="78">
        <v>46159</v>
      </c>
      <c r="D142" s="81">
        <v>6019.06</v>
      </c>
      <c r="E142" t="s">
        <v>64</v>
      </c>
      <c r="F142" t="s">
        <v>65</v>
      </c>
      <c r="G142" t="s">
        <v>77</v>
      </c>
    </row>
    <row r="143" spans="1:7" x14ac:dyDescent="0.3">
      <c r="A143" t="s">
        <v>73</v>
      </c>
      <c r="B143" t="s">
        <v>76</v>
      </c>
      <c r="C143" s="78">
        <v>46160</v>
      </c>
      <c r="D143" s="81">
        <v>5976.07</v>
      </c>
      <c r="E143" t="s">
        <v>64</v>
      </c>
      <c r="F143" t="s">
        <v>65</v>
      </c>
      <c r="G143" t="s">
        <v>77</v>
      </c>
    </row>
    <row r="144" spans="1:7" x14ac:dyDescent="0.3">
      <c r="A144" t="s">
        <v>73</v>
      </c>
      <c r="B144" t="s">
        <v>76</v>
      </c>
      <c r="C144" s="78">
        <v>46161</v>
      </c>
      <c r="D144" s="81">
        <v>5670.22</v>
      </c>
      <c r="E144" t="s">
        <v>64</v>
      </c>
      <c r="F144" t="s">
        <v>65</v>
      </c>
      <c r="G144" t="s">
        <v>77</v>
      </c>
    </row>
    <row r="145" spans="1:7" x14ac:dyDescent="0.3">
      <c r="A145" t="s">
        <v>73</v>
      </c>
      <c r="B145" t="s">
        <v>76</v>
      </c>
      <c r="C145" s="78">
        <v>46162</v>
      </c>
      <c r="D145">
        <v>0</v>
      </c>
      <c r="E145" t="s">
        <v>64</v>
      </c>
      <c r="F145" t="s">
        <v>65</v>
      </c>
      <c r="G145" t="s">
        <v>77</v>
      </c>
    </row>
    <row r="146" spans="1:7" x14ac:dyDescent="0.3">
      <c r="A146" t="s">
        <v>73</v>
      </c>
      <c r="B146" t="s">
        <v>76</v>
      </c>
      <c r="C146" s="78">
        <v>46163</v>
      </c>
      <c r="D146" s="81">
        <v>3292.27</v>
      </c>
      <c r="E146" t="s">
        <v>64</v>
      </c>
      <c r="F146" t="s">
        <v>65</v>
      </c>
      <c r="G146" t="s">
        <v>77</v>
      </c>
    </row>
    <row r="147" spans="1:7" x14ac:dyDescent="0.3">
      <c r="A147" t="s">
        <v>73</v>
      </c>
      <c r="B147" t="s">
        <v>76</v>
      </c>
      <c r="C147" s="78">
        <v>46164</v>
      </c>
      <c r="D147" s="81">
        <v>6233.98</v>
      </c>
      <c r="E147" t="s">
        <v>64</v>
      </c>
      <c r="F147" t="s">
        <v>65</v>
      </c>
      <c r="G147" t="s">
        <v>77</v>
      </c>
    </row>
    <row r="148" spans="1:7" x14ac:dyDescent="0.3">
      <c r="A148" t="s">
        <v>73</v>
      </c>
      <c r="B148" t="s">
        <v>76</v>
      </c>
      <c r="C148" s="78">
        <v>46165</v>
      </c>
      <c r="D148" s="81">
        <v>2061.5</v>
      </c>
      <c r="E148" t="s">
        <v>64</v>
      </c>
      <c r="F148" t="s">
        <v>65</v>
      </c>
      <c r="G148" t="s">
        <v>77</v>
      </c>
    </row>
    <row r="149" spans="1:7" x14ac:dyDescent="0.3">
      <c r="A149" t="s">
        <v>73</v>
      </c>
      <c r="B149" t="s">
        <v>76</v>
      </c>
      <c r="C149" s="78">
        <v>46166</v>
      </c>
      <c r="D149">
        <v>0</v>
      </c>
      <c r="E149" t="s">
        <v>64</v>
      </c>
      <c r="F149" t="s">
        <v>65</v>
      </c>
      <c r="G149" t="s">
        <v>77</v>
      </c>
    </row>
    <row r="150" spans="1:7" x14ac:dyDescent="0.3">
      <c r="A150" t="s">
        <v>73</v>
      </c>
      <c r="B150" t="s">
        <v>76</v>
      </c>
      <c r="C150" s="78">
        <v>46167</v>
      </c>
      <c r="D150">
        <v>0</v>
      </c>
      <c r="E150" t="s">
        <v>64</v>
      </c>
      <c r="F150" t="s">
        <v>65</v>
      </c>
      <c r="G150" t="s">
        <v>77</v>
      </c>
    </row>
    <row r="151" spans="1:7" x14ac:dyDescent="0.3">
      <c r="A151" t="s">
        <v>73</v>
      </c>
      <c r="B151" t="s">
        <v>76</v>
      </c>
      <c r="C151" s="78">
        <v>46168</v>
      </c>
      <c r="D151" s="81">
        <v>3383.86</v>
      </c>
      <c r="E151" t="s">
        <v>64</v>
      </c>
      <c r="F151" t="s">
        <v>65</v>
      </c>
      <c r="G151" t="s">
        <v>77</v>
      </c>
    </row>
    <row r="152" spans="1:7" x14ac:dyDescent="0.3">
      <c r="A152" t="s">
        <v>73</v>
      </c>
      <c r="B152" t="s">
        <v>76</v>
      </c>
      <c r="C152" s="78">
        <v>46169</v>
      </c>
      <c r="D152" s="81">
        <v>5785.56</v>
      </c>
      <c r="E152" t="s">
        <v>64</v>
      </c>
      <c r="F152" t="s">
        <v>65</v>
      </c>
      <c r="G152" t="s">
        <v>77</v>
      </c>
    </row>
    <row r="153" spans="1:7" x14ac:dyDescent="0.3">
      <c r="A153" t="s">
        <v>73</v>
      </c>
      <c r="B153" t="s">
        <v>76</v>
      </c>
      <c r="C153" s="78">
        <v>46170</v>
      </c>
      <c r="D153" s="81">
        <v>5776.49</v>
      </c>
      <c r="E153" t="s">
        <v>64</v>
      </c>
      <c r="F153" t="s">
        <v>65</v>
      </c>
      <c r="G153" t="s">
        <v>77</v>
      </c>
    </row>
    <row r="154" spans="1:7" x14ac:dyDescent="0.3">
      <c r="A154" t="s">
        <v>73</v>
      </c>
      <c r="B154" t="s">
        <v>76</v>
      </c>
      <c r="C154" s="78">
        <v>46171</v>
      </c>
      <c r="D154" s="81">
        <v>4060.37</v>
      </c>
      <c r="E154" t="s">
        <v>64</v>
      </c>
      <c r="F154" t="s">
        <v>65</v>
      </c>
      <c r="G154" t="s">
        <v>77</v>
      </c>
    </row>
    <row r="155" spans="1:7" x14ac:dyDescent="0.3">
      <c r="A155" t="s">
        <v>73</v>
      </c>
      <c r="B155" t="s">
        <v>76</v>
      </c>
      <c r="C155" s="78">
        <v>46172</v>
      </c>
      <c r="D155" s="81">
        <v>6053.83</v>
      </c>
      <c r="E155" t="s">
        <v>64</v>
      </c>
      <c r="F155" t="s">
        <v>65</v>
      </c>
      <c r="G155" t="s">
        <v>77</v>
      </c>
    </row>
    <row r="156" spans="1:7" x14ac:dyDescent="0.3">
      <c r="A156" t="s">
        <v>73</v>
      </c>
      <c r="B156" t="s">
        <v>76</v>
      </c>
      <c r="C156" s="78">
        <v>46173</v>
      </c>
      <c r="D156" s="81">
        <v>6029.86</v>
      </c>
      <c r="E156" t="s">
        <v>64</v>
      </c>
      <c r="F156" t="s">
        <v>65</v>
      </c>
      <c r="G156" t="s">
        <v>77</v>
      </c>
    </row>
    <row r="157" spans="1:7" x14ac:dyDescent="0.3">
      <c r="A157" t="s">
        <v>73</v>
      </c>
      <c r="B157" t="s">
        <v>78</v>
      </c>
      <c r="C157" s="78">
        <v>46143</v>
      </c>
      <c r="D157">
        <v>0</v>
      </c>
      <c r="E157" t="s">
        <v>64</v>
      </c>
      <c r="F157" t="s">
        <v>65</v>
      </c>
      <c r="G157" t="s">
        <v>79</v>
      </c>
    </row>
    <row r="158" spans="1:7" x14ac:dyDescent="0.3">
      <c r="A158" t="s">
        <v>73</v>
      </c>
      <c r="B158" t="s">
        <v>78</v>
      </c>
      <c r="C158" s="78">
        <v>46144</v>
      </c>
      <c r="D158">
        <v>0</v>
      </c>
      <c r="E158" t="s">
        <v>64</v>
      </c>
      <c r="F158" t="s">
        <v>65</v>
      </c>
      <c r="G158" t="s">
        <v>79</v>
      </c>
    </row>
    <row r="159" spans="1:7" x14ac:dyDescent="0.3">
      <c r="A159" t="s">
        <v>73</v>
      </c>
      <c r="B159" t="s">
        <v>78</v>
      </c>
      <c r="C159" s="78">
        <v>46145</v>
      </c>
      <c r="D159">
        <v>0</v>
      </c>
      <c r="E159" t="s">
        <v>64</v>
      </c>
      <c r="F159" t="s">
        <v>65</v>
      </c>
      <c r="G159" t="s">
        <v>79</v>
      </c>
    </row>
    <row r="160" spans="1:7" x14ac:dyDescent="0.3">
      <c r="A160" t="s">
        <v>73</v>
      </c>
      <c r="B160" t="s">
        <v>78</v>
      </c>
      <c r="C160" s="78">
        <v>46146</v>
      </c>
      <c r="D160" s="81">
        <v>1507.36</v>
      </c>
      <c r="E160" t="s">
        <v>64</v>
      </c>
      <c r="F160" t="s">
        <v>65</v>
      </c>
      <c r="G160" t="s">
        <v>79</v>
      </c>
    </row>
    <row r="161" spans="1:7" x14ac:dyDescent="0.3">
      <c r="A161" t="s">
        <v>73</v>
      </c>
      <c r="B161" t="s">
        <v>78</v>
      </c>
      <c r="C161" s="78">
        <v>46147</v>
      </c>
      <c r="D161">
        <v>414.072</v>
      </c>
      <c r="E161" t="s">
        <v>64</v>
      </c>
      <c r="F161" t="s">
        <v>65</v>
      </c>
      <c r="G161" t="s">
        <v>79</v>
      </c>
    </row>
    <row r="162" spans="1:7" x14ac:dyDescent="0.3">
      <c r="A162" t="s">
        <v>73</v>
      </c>
      <c r="B162" t="s">
        <v>78</v>
      </c>
      <c r="C162" s="78">
        <v>46148</v>
      </c>
      <c r="D162">
        <v>0</v>
      </c>
      <c r="E162" t="s">
        <v>64</v>
      </c>
      <c r="F162" t="s">
        <v>65</v>
      </c>
      <c r="G162" t="s">
        <v>79</v>
      </c>
    </row>
    <row r="163" spans="1:7" x14ac:dyDescent="0.3">
      <c r="A163" t="s">
        <v>73</v>
      </c>
      <c r="B163" t="s">
        <v>78</v>
      </c>
      <c r="C163" s="78">
        <v>46149</v>
      </c>
      <c r="D163">
        <v>0</v>
      </c>
      <c r="E163" t="s">
        <v>64</v>
      </c>
      <c r="F163" t="s">
        <v>65</v>
      </c>
      <c r="G163" t="s">
        <v>79</v>
      </c>
    </row>
    <row r="164" spans="1:7" x14ac:dyDescent="0.3">
      <c r="A164" t="s">
        <v>73</v>
      </c>
      <c r="B164" t="s">
        <v>78</v>
      </c>
      <c r="C164" s="78">
        <v>46150</v>
      </c>
      <c r="D164">
        <v>0</v>
      </c>
      <c r="E164" t="s">
        <v>64</v>
      </c>
      <c r="F164" t="s">
        <v>65</v>
      </c>
      <c r="G164" t="s">
        <v>79</v>
      </c>
    </row>
    <row r="165" spans="1:7" x14ac:dyDescent="0.3">
      <c r="A165" t="s">
        <v>73</v>
      </c>
      <c r="B165" t="s">
        <v>78</v>
      </c>
      <c r="C165" s="78">
        <v>46151</v>
      </c>
      <c r="D165">
        <v>0</v>
      </c>
      <c r="E165" t="s">
        <v>64</v>
      </c>
      <c r="F165" t="s">
        <v>65</v>
      </c>
      <c r="G165" t="s">
        <v>79</v>
      </c>
    </row>
    <row r="166" spans="1:7" x14ac:dyDescent="0.3">
      <c r="A166" t="s">
        <v>73</v>
      </c>
      <c r="B166" t="s">
        <v>78</v>
      </c>
      <c r="C166" s="78">
        <v>46152</v>
      </c>
      <c r="D166">
        <v>0</v>
      </c>
      <c r="E166" t="s">
        <v>64</v>
      </c>
      <c r="F166" t="s">
        <v>65</v>
      </c>
      <c r="G166" t="s">
        <v>79</v>
      </c>
    </row>
    <row r="167" spans="1:7" x14ac:dyDescent="0.3">
      <c r="A167" t="s">
        <v>73</v>
      </c>
      <c r="B167" t="s">
        <v>78</v>
      </c>
      <c r="C167" s="78">
        <v>46153</v>
      </c>
      <c r="D167">
        <v>0</v>
      </c>
      <c r="E167" t="s">
        <v>64</v>
      </c>
      <c r="F167" t="s">
        <v>65</v>
      </c>
      <c r="G167" t="s">
        <v>79</v>
      </c>
    </row>
    <row r="168" spans="1:7" x14ac:dyDescent="0.3">
      <c r="A168" t="s">
        <v>73</v>
      </c>
      <c r="B168" t="s">
        <v>78</v>
      </c>
      <c r="C168" s="78">
        <v>46154</v>
      </c>
      <c r="D168">
        <v>0</v>
      </c>
      <c r="E168" t="s">
        <v>64</v>
      </c>
      <c r="F168" t="s">
        <v>65</v>
      </c>
      <c r="G168" t="s">
        <v>79</v>
      </c>
    </row>
    <row r="169" spans="1:7" x14ac:dyDescent="0.3">
      <c r="A169" t="s">
        <v>73</v>
      </c>
      <c r="B169" t="s">
        <v>78</v>
      </c>
      <c r="C169" s="78">
        <v>46155</v>
      </c>
      <c r="D169" s="81">
        <v>1452.06</v>
      </c>
      <c r="E169" t="s">
        <v>64</v>
      </c>
      <c r="F169" t="s">
        <v>65</v>
      </c>
      <c r="G169" t="s">
        <v>79</v>
      </c>
    </row>
    <row r="170" spans="1:7" x14ac:dyDescent="0.3">
      <c r="A170" t="s">
        <v>73</v>
      </c>
      <c r="B170" t="s">
        <v>78</v>
      </c>
      <c r="C170" s="78">
        <v>46156</v>
      </c>
      <c r="D170">
        <v>605.34</v>
      </c>
      <c r="E170" t="s">
        <v>64</v>
      </c>
      <c r="F170" t="s">
        <v>65</v>
      </c>
      <c r="G170" t="s">
        <v>79</v>
      </c>
    </row>
    <row r="171" spans="1:7" x14ac:dyDescent="0.3">
      <c r="A171" t="s">
        <v>73</v>
      </c>
      <c r="B171" t="s">
        <v>78</v>
      </c>
      <c r="C171" s="78">
        <v>46157</v>
      </c>
      <c r="D171">
        <v>850.93200000000002</v>
      </c>
      <c r="E171" t="s">
        <v>64</v>
      </c>
      <c r="F171" t="s">
        <v>65</v>
      </c>
      <c r="G171" t="s">
        <v>79</v>
      </c>
    </row>
    <row r="172" spans="1:7" x14ac:dyDescent="0.3">
      <c r="A172" t="s">
        <v>73</v>
      </c>
      <c r="B172" t="s">
        <v>78</v>
      </c>
      <c r="C172" s="78">
        <v>46158</v>
      </c>
      <c r="D172">
        <v>0</v>
      </c>
      <c r="E172" t="s">
        <v>64</v>
      </c>
      <c r="F172" t="s">
        <v>65</v>
      </c>
      <c r="G172" t="s">
        <v>79</v>
      </c>
    </row>
    <row r="173" spans="1:7" x14ac:dyDescent="0.3">
      <c r="A173" t="s">
        <v>73</v>
      </c>
      <c r="B173" t="s">
        <v>78</v>
      </c>
      <c r="C173" s="78">
        <v>46159</v>
      </c>
      <c r="D173">
        <v>0</v>
      </c>
      <c r="E173" t="s">
        <v>64</v>
      </c>
      <c r="F173" t="s">
        <v>65</v>
      </c>
      <c r="G173" t="s">
        <v>79</v>
      </c>
    </row>
    <row r="174" spans="1:7" x14ac:dyDescent="0.3">
      <c r="A174" t="s">
        <v>73</v>
      </c>
      <c r="B174" t="s">
        <v>78</v>
      </c>
      <c r="C174" s="78">
        <v>46160</v>
      </c>
      <c r="D174">
        <v>926.85599999999999</v>
      </c>
      <c r="E174" t="s">
        <v>64</v>
      </c>
      <c r="F174" t="s">
        <v>65</v>
      </c>
      <c r="G174" t="s">
        <v>79</v>
      </c>
    </row>
    <row r="175" spans="1:7" x14ac:dyDescent="0.3">
      <c r="A175" t="s">
        <v>73</v>
      </c>
      <c r="B175" t="s">
        <v>78</v>
      </c>
      <c r="C175" s="78">
        <v>46161</v>
      </c>
      <c r="D175">
        <v>919.94399999999996</v>
      </c>
      <c r="E175" t="s">
        <v>64</v>
      </c>
      <c r="F175" t="s">
        <v>65</v>
      </c>
      <c r="G175" t="s">
        <v>79</v>
      </c>
    </row>
    <row r="176" spans="1:7" x14ac:dyDescent="0.3">
      <c r="A176" t="s">
        <v>73</v>
      </c>
      <c r="B176" t="s">
        <v>78</v>
      </c>
      <c r="C176" s="78">
        <v>46162</v>
      </c>
      <c r="D176">
        <v>964.44</v>
      </c>
      <c r="E176" t="s">
        <v>64</v>
      </c>
      <c r="F176" t="s">
        <v>65</v>
      </c>
      <c r="G176" t="s">
        <v>79</v>
      </c>
    </row>
    <row r="177" spans="1:7" x14ac:dyDescent="0.3">
      <c r="A177" t="s">
        <v>73</v>
      </c>
      <c r="B177" t="s">
        <v>78</v>
      </c>
      <c r="C177" s="78">
        <v>46163</v>
      </c>
      <c r="D177">
        <v>0</v>
      </c>
      <c r="E177" t="s">
        <v>64</v>
      </c>
      <c r="F177" t="s">
        <v>65</v>
      </c>
      <c r="G177" t="s">
        <v>79</v>
      </c>
    </row>
    <row r="178" spans="1:7" x14ac:dyDescent="0.3">
      <c r="A178" t="s">
        <v>73</v>
      </c>
      <c r="B178" t="s">
        <v>78</v>
      </c>
      <c r="C178" s="78">
        <v>46164</v>
      </c>
      <c r="D178">
        <v>926.64</v>
      </c>
      <c r="E178" t="s">
        <v>64</v>
      </c>
      <c r="F178" t="s">
        <v>65</v>
      </c>
      <c r="G178" t="s">
        <v>79</v>
      </c>
    </row>
    <row r="179" spans="1:7" x14ac:dyDescent="0.3">
      <c r="A179" t="s">
        <v>73</v>
      </c>
      <c r="B179" t="s">
        <v>78</v>
      </c>
      <c r="C179" s="78">
        <v>46165</v>
      </c>
      <c r="D179">
        <v>0</v>
      </c>
      <c r="E179" t="s">
        <v>64</v>
      </c>
      <c r="F179" t="s">
        <v>65</v>
      </c>
      <c r="G179" t="s">
        <v>79</v>
      </c>
    </row>
    <row r="180" spans="1:7" x14ac:dyDescent="0.3">
      <c r="A180" t="s">
        <v>73</v>
      </c>
      <c r="B180" t="s">
        <v>78</v>
      </c>
      <c r="C180" s="78">
        <v>46166</v>
      </c>
      <c r="D180">
        <v>0</v>
      </c>
      <c r="E180" t="s">
        <v>64</v>
      </c>
      <c r="F180" t="s">
        <v>65</v>
      </c>
      <c r="G180" t="s">
        <v>79</v>
      </c>
    </row>
    <row r="181" spans="1:7" x14ac:dyDescent="0.3">
      <c r="A181" t="s">
        <v>73</v>
      </c>
      <c r="B181" t="s">
        <v>78</v>
      </c>
      <c r="C181" s="78">
        <v>46167</v>
      </c>
      <c r="D181">
        <v>935.82</v>
      </c>
      <c r="E181" t="s">
        <v>64</v>
      </c>
      <c r="F181" t="s">
        <v>65</v>
      </c>
      <c r="G181" t="s">
        <v>79</v>
      </c>
    </row>
    <row r="182" spans="1:7" x14ac:dyDescent="0.3">
      <c r="A182" t="s">
        <v>73</v>
      </c>
      <c r="B182" t="s">
        <v>78</v>
      </c>
      <c r="C182" s="78">
        <v>46168</v>
      </c>
      <c r="D182">
        <v>910.44</v>
      </c>
      <c r="E182" t="s">
        <v>64</v>
      </c>
      <c r="F182" t="s">
        <v>65</v>
      </c>
      <c r="G182" t="s">
        <v>79</v>
      </c>
    </row>
    <row r="183" spans="1:7" x14ac:dyDescent="0.3">
      <c r="A183" t="s">
        <v>73</v>
      </c>
      <c r="B183" t="s">
        <v>78</v>
      </c>
      <c r="C183" s="78">
        <v>46169</v>
      </c>
      <c r="D183">
        <v>923.50800000000004</v>
      </c>
      <c r="E183" t="s">
        <v>64</v>
      </c>
      <c r="F183" t="s">
        <v>65</v>
      </c>
      <c r="G183" t="s">
        <v>79</v>
      </c>
    </row>
    <row r="184" spans="1:7" x14ac:dyDescent="0.3">
      <c r="A184" t="s">
        <v>73</v>
      </c>
      <c r="B184" t="s">
        <v>78</v>
      </c>
      <c r="C184" s="78">
        <v>46170</v>
      </c>
      <c r="D184">
        <v>0</v>
      </c>
      <c r="E184" t="s">
        <v>64</v>
      </c>
      <c r="F184" t="s">
        <v>65</v>
      </c>
      <c r="G184" t="s">
        <v>79</v>
      </c>
    </row>
    <row r="185" spans="1:7" x14ac:dyDescent="0.3">
      <c r="A185" t="s">
        <v>73</v>
      </c>
      <c r="B185" t="s">
        <v>78</v>
      </c>
      <c r="C185" s="78">
        <v>46171</v>
      </c>
      <c r="D185">
        <v>853.2</v>
      </c>
      <c r="E185" t="s">
        <v>64</v>
      </c>
      <c r="F185" t="s">
        <v>65</v>
      </c>
      <c r="G185" t="s">
        <v>79</v>
      </c>
    </row>
    <row r="186" spans="1:7" x14ac:dyDescent="0.3">
      <c r="A186" t="s">
        <v>73</v>
      </c>
      <c r="B186" t="s">
        <v>78</v>
      </c>
      <c r="C186" s="78">
        <v>46172</v>
      </c>
      <c r="D186">
        <v>0</v>
      </c>
      <c r="E186" t="s">
        <v>64</v>
      </c>
      <c r="F186" t="s">
        <v>65</v>
      </c>
      <c r="G186" t="s">
        <v>79</v>
      </c>
    </row>
    <row r="187" spans="1:7" x14ac:dyDescent="0.3">
      <c r="A187" t="s">
        <v>73</v>
      </c>
      <c r="B187" t="s">
        <v>78</v>
      </c>
      <c r="C187" s="78">
        <v>46173</v>
      </c>
      <c r="D187">
        <v>0</v>
      </c>
      <c r="E187" t="s">
        <v>64</v>
      </c>
      <c r="F187" t="s">
        <v>65</v>
      </c>
      <c r="G187" t="s">
        <v>79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A6AAFDD53073348A3C4A2CED8C2E7E4" ma:contentTypeVersion="14" ma:contentTypeDescription="Crie um novo documento." ma:contentTypeScope="" ma:versionID="b228326faeb6c3de2b26689285669229">
  <xsd:schema xmlns:xsd="http://www.w3.org/2001/XMLSchema" xmlns:xs="http://www.w3.org/2001/XMLSchema" xmlns:p="http://schemas.microsoft.com/office/2006/metadata/properties" xmlns:ns2="abf55898-0274-4e8f-8390-d7d1596994de" xmlns:ns3="8834e37d-2d84-41b0-88b1-1c3f8163ea4c" targetNamespace="http://schemas.microsoft.com/office/2006/metadata/properties" ma:root="true" ma:fieldsID="400854ee8f0dc57b1a5ea92fe5cde8c6" ns2:_="" ns3:_="">
    <xsd:import namespace="abf55898-0274-4e8f-8390-d7d1596994de"/>
    <xsd:import namespace="8834e37d-2d84-41b0-88b1-1c3f8163e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Flow_SignoffStatu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f55898-0274-4e8f-8390-d7d1596994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11" nillable="true" ma:displayName="Status de liberação" ma:internalName="_x0024_Resources_x003a_core_x002c_Signoff_Status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0d1a0b9-b745-4eec-b878-79178d078f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4e37d-2d84-41b0-88b1-1c3f8163e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4d215b4-d89a-4bad-b6ac-528903ecd278}" ma:internalName="TaxCatchAll" ma:showField="CatchAllData" ma:web="8834e37d-2d84-41b0-88b1-1c3f8163e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abf55898-0274-4e8f-8390-d7d1596994de" xsi:nil="true"/>
    <lcf76f155ced4ddcb4097134ff3c332f xmlns="abf55898-0274-4e8f-8390-d7d1596994de">
      <Terms xmlns="http://schemas.microsoft.com/office/infopath/2007/PartnerControls"/>
    </lcf76f155ced4ddcb4097134ff3c332f>
    <TaxCatchAll xmlns="8834e37d-2d84-41b0-88b1-1c3f8163ea4c" xsi:nil="true"/>
  </documentManagement>
</p:properties>
</file>

<file path=customXml/itemProps1.xml><?xml version="1.0" encoding="utf-8"?>
<ds:datastoreItem xmlns:ds="http://schemas.openxmlformats.org/officeDocument/2006/customXml" ds:itemID="{58D232A4-30CE-405C-A9DC-7B83418DC76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971D454-AD7C-491A-BC28-BEDD91E50D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46EB9-2665-43F3-A665-EAB847D9F7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f55898-0274-4e8f-8390-d7d1596994de"/>
    <ds:schemaRef ds:uri="8834e37d-2d84-41b0-88b1-1c3f8163ea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5A54D72-97C0-4E94-A43E-2F47BC3EA241}">
  <ds:schemaRefs>
    <ds:schemaRef ds:uri="http://schemas.microsoft.com/office/2006/metadata/properties"/>
    <ds:schemaRef ds:uri="http://schemas.microsoft.com/office/infopath/2007/PartnerControls"/>
    <ds:schemaRef ds:uri="abf55898-0274-4e8f-8390-d7d1596994de"/>
    <ds:schemaRef ds:uri="8834e37d-2d84-41b0-88b1-1c3f8163ea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Relatórios</vt:lpstr>
      <vt:lpstr>Tabela1</vt:lpstr>
      <vt:lpstr>Planilha1</vt:lpstr>
      <vt:lpstr>Mensal</vt:lpstr>
      <vt:lpstr>Pvsyst</vt:lpstr>
      <vt:lpstr>Hidreletrica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Bozi Ferrerira</dc:creator>
  <cp:keywords/>
  <dc:description/>
  <cp:lastModifiedBy>Weslley das Neves Oliveira</cp:lastModifiedBy>
  <cp:revision/>
  <dcterms:created xsi:type="dcterms:W3CDTF">2015-06-05T18:19:34Z</dcterms:created>
  <dcterms:modified xsi:type="dcterms:W3CDTF">2026-06-11T18:58:16Z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0x0101003A6AAFDD53073348A3C4A2CED8C2E7E4</vt:lpwstr>
  </property>
  <property fmtid="{D5CDD505-2E9C-101B-9397-08002B2CF9AE}" pid="3" name="MediaServiceImageTags">
    <vt:lpwstr/>
  </property>
</Properties>
</file>